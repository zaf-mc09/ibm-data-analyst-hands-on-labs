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300" activeTab="3"/>
  </bookViews>
  <sheets>
    <sheet name="Car_sales" sheetId="1" r:id="rId1"/>
    <sheet name="Bar Chart" sheetId="2" r:id="rId2"/>
    <sheet name="Column, Pie, Sunburst Chart" sheetId="3" r:id="rId3"/>
    <sheet name="Dashboard" sheetId="4" r:id="rId4"/>
  </sheets>
  <definedNames>
    <definedName name="Slicer_Manufacturer">#N/A</definedName>
    <definedName name="Slicer_Model">#N/A</definedName>
    <definedName name="_xlchart.v1.0" hidden="1">'Column, Pie, Sunburst Chart'!$B$2:$B$156</definedName>
    <definedName name="_xlchart.v1.1" hidden="1">'Column, Pie, Sunburst Chart'!$C$2:$C$156</definedName>
    <definedName name="_xlchart.v1.2" hidden="1">'Column, Pie, Sunburst Chart'!$B$2:$B$156</definedName>
    <definedName name="_xlchart.v1.3" hidden="1">'Column, Pie, Sunburst Chart'!$C$2:$C$156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<sst xmlns="http://schemas.openxmlformats.org/spreadsheetml/2006/main" count="976" uniqueCount="209">
  <si>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</si>
  <si>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</si>
  <si>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</si>
  <si>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</si>
  <si>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</si>
  <si>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</si>
  <si>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</si>
  <si>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</si>
  <si>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</si>
  <si>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</si>
  <si>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</si>
  <si>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</si>
  <si>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</si>
  <si>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Wheelbase</t>
  </si>
  <si>
    <t>Width</t>
  </si>
  <si>
    <t>Length</t>
  </si>
  <si>
    <t>Curb Weight</t>
  </si>
  <si>
    <t>Fuel Capacity</t>
  </si>
  <si>
    <t>Latest Launch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</si>
  <si>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</si>
  <si>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</si>
  <si>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</si>
  <si>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</si>
  <si>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</si>
  <si>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</si>
  <si>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</si>
  <si>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</si>
  <si>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</si>
  <si>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</si>
  <si>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</si>
  <si>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</si>
  <si>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</si>
  <si>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</si>
  <si>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</si>
  <si>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</si>
  <si>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</si>
  <si>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</si>
  <si>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</si>
  <si>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</si>
  <si>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</si>
  <si>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</si>
  <si>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</si>
  <si>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</si>
  <si>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</si>
  <si>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</si>
  <si>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</si>
  <si>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</si>
  <si>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</si>
  <si>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</si>
  <si>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</si>
  <si>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</si>
  <si>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</si>
  <si>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</si>
  <si>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</si>
  <si>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</si>
  <si>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</si>
  <si>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</si>
  <si>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</si>
  <si>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</si>
  <si>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</si>
  <si>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</si>
  <si>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</si>
  <si>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</si>
  <si>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</si>
  <si>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</si>
  <si>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</si>
  <si>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</si>
  <si>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</si>
  <si>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</si>
  <si>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</si>
  <si>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</si>
  <si>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</si>
  <si>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</si>
  <si>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</si>
  <si>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</si>
  <si>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</si>
  <si>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</si>
  <si>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</si>
  <si>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</si>
  <si>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</si>
  <si>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</si>
  <si>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</si>
  <si>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</si>
  <si>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</si>
  <si>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</si>
  <si>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</si>
  <si>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</si>
  <si>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</si>
  <si>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</si>
  <si>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</si>
  <si>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</si>
  <si>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</si>
  <si>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</si>
  <si>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</si>
  <si>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</si>
  <si>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</si>
  <si>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</si>
  <si>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</si>
  <si>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</si>
  <si>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</si>
  <si>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</si>
  <si>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</si>
  <si>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</si>
  <si>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</si>
  <si>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</si>
  <si>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</si>
  <si>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</si>
  <si>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</si>
  <si>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</si>
  <si>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</si>
  <si>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</si>
  <si>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</si>
  <si>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</si>
  <si>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</si>
  <si>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</si>
  <si>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</si>
  <si>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</si>
  <si>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</si>
  <si>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</si>
  <si>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</si>
  <si>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</si>
  <si>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</si>
  <si>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</si>
  <si>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</si>
  <si>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</si>
  <si>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</si>
  <si>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</si>
  <si>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</si>
  <si>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</si>
  <si>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</si>
  <si>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</si>
  <si>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</si>
  <si>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</si>
  <si>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</si>
  <si>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</si>
  <si>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</si>
  <si>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</si>
  <si>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</si>
  <si>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</si>
  <si>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</si>
  <si>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</si>
  <si>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</si>
  <si>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</si>
  <si>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</si>
  <si>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</si>
  <si>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</si>
  <si>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</si>
  <si>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</si>
  <si>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</si>
  <si>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</si>
  <si>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</si>
  <si>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</si>
  <si>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</si>
  <si>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</si>
  <si>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</si>
  <si>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</si>
  <si>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</si>
  <si>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</si>
  <si>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</si>
  <si>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</si>
  <si>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</si>
  <si>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</si>
  <si>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</si>
  <si>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</si>
  <si>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</si>
  <si>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</si>
  <si>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</si>
  <si>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</si>
  <si>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</si>
  <si>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</si>
  <si>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</si>
  <si>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</si>
  <si>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</si>
  <si>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</si>
  <si>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</si>
  <si>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</si>
  <si>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</si>
  <si>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</si>
  <si>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</si>
  <si>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</si>
  <si>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</si>
  <si>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</si>
  <si>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</si>
  <si>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</si>
  <si>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</si>
  <si>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</si>
  <si>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</si>
  <si>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</si>
  <si>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</si>
  <si>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</si>
  <si>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</si>
  <si>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</si>
  <si>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</si>
  <si>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</si>
  <si>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</si>
  <si>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</si>
  <si>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</si>
  <si>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</si>
  <si>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</si>
  <si>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</si>
  <si>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</si>
  <si>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</si>
  <si>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</si>
  <si>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</si>
  <si>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</si>
  <si>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Row Labels</t>
  </si>
  <si>
    <t>Average of Year Resale Value</t>
  </si>
  <si>
    <t>Average of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</si>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</sst>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$-409]#,##0.00"/>
    <numFmt numFmtId="177" formatCode="[$$-409]#,##0"/>
    <numFmt numFmtId="178" formatCode="_-[$$-409]* #,##0_ ;_-[$$-409]* \-#,##0\ ;_-[$$-409]* &quot;-&quot;??_ ;_-@_ "/>
    <numFmt numFmtId="179" formatCode="&quot;$&quot;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1"/>
      <color theme="1"/>
      <name val="Wingdings"/>
      <charset val="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8" borderId="8" applyNumberFormat="0" applyAlignment="0" applyProtection="0"/>
    <xf numFmtId="0" fontId="17" fillId="0" borderId="9" applyNumberFormat="0" applyFill="0" applyAlignment="0" applyProtection="0"/>
    <xf numFmtId="0" fontId="1" fillId="0" borderId="10" applyNumberFormat="0" applyFill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2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3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4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176" fontId="0" fillId="0" borderId="0" xfId="0" applyNumberFormat="1"/>
    <xf numFmtId="0" fontId="1" fillId="2" borderId="0" xfId="28" applyFont="1"/>
    <xf numFmtId="176" fontId="1" fillId="2" borderId="0" xfId="28" applyNumberFormat="1" applyFont="1"/>
    <xf numFmtId="0" fontId="1" fillId="3" borderId="0" xfId="32" applyFont="1"/>
    <xf numFmtId="0" fontId="2" fillId="4" borderId="0" xfId="48" applyFont="1"/>
    <xf numFmtId="1" fontId="0" fillId="0" borderId="1" xfId="0" applyNumberFormat="1" applyBorder="1"/>
    <xf numFmtId="177" fontId="0" fillId="0" borderId="1" xfId="0" applyNumberFormat="1" applyBorder="1"/>
    <xf numFmtId="9" fontId="0" fillId="0" borderId="1" xfId="3" applyFont="1" applyBorder="1"/>
    <xf numFmtId="0" fontId="0" fillId="0" borderId="1" xfId="0" applyBorder="1"/>
    <xf numFmtId="58" fontId="0" fillId="0" borderId="1" xfId="0" applyNumberFormat="1" applyBorder="1"/>
    <xf numFmtId="178" fontId="0" fillId="0" borderId="0" xfId="0" applyNumberFormat="1"/>
    <xf numFmtId="0" fontId="0" fillId="0" borderId="0" xfId="0" applyFont="1"/>
    <xf numFmtId="0" fontId="3" fillId="0" borderId="0" xfId="0" applyFont="1"/>
    <xf numFmtId="49" fontId="2" fillId="4" borderId="0" xfId="48" applyNumberFormat="1" applyFont="1"/>
    <xf numFmtId="179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79" formatCode="&quot;$&quot;#,##0.00"/>
    </dxf>
    <dxf>
      <numFmt numFmtId="179" formatCode="&quot;$&quot;#,##0.00"/>
    </dxf>
    <dxf>
      <numFmt numFmtId="179" formatCode="&quot;$&quot;#,##0.00"/>
    </dxf>
    <dxf>
      <numFmt numFmtId="179" formatCode="&quot;$&quot;#,##0.00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  <dxf>
      <font>
        <name val="Arial"/>
        <scheme val="none"/>
        <family val="2"/>
        <b val="1"/>
        <i val="1"/>
        <strike val="0"/>
        <u val="none"/>
        <sz val="10"/>
        <color theme="1"/>
      </font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5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theme="9" tint="-0.499984740745262"/>
      </font>
      <fill>
        <patternFill patternType="solid">
          <bgColor theme="9" tint="0.599963377788629"/>
        </patternFill>
      </fill>
    </dxf>
    <dxf>
      <font>
        <b val="1"/>
        <i val="0"/>
        <color rgb="FFFF0000"/>
      </font>
      <fill>
        <patternFill patternType="solid">
          <bgColor rgb="FFFFCCCC"/>
        </patternFill>
      </fill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  <dxf>
      <font>
        <name val="Arial"/>
        <scheme val="none"/>
        <family val="2"/>
        <b val="1"/>
        <i val="1"/>
        <strike val="0"/>
        <u val="none"/>
        <sz val="10"/>
        <color theme="1"/>
      </font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m/d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FCCCC"/>
      <color rgb="00FF9999"/>
      <color rgb="00FF7C80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[Car_Sales_Kaggle_DV0130EN_Lab3_Ex2Start.xlsx]Bar Chart!PivotTable4</c:name>
    <c:fmtId val="8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Chart'!$B$4:$B$8</c:f>
              <c:numCache>
                <c:formatCode>"$"#,##0.00</c:formatCode>
                <c:ptCount val="4"/>
                <c:pt idx="0">
                  <c:v>21986.6666666667</c:v>
                </c:pt>
                <c:pt idx="1">
                  <c:v>28270</c:v>
                </c:pt>
                <c:pt idx="2">
                  <c:v>29766.6666666667</c:v>
                </c:pt>
                <c:pt idx="3">
                  <c:v>14941.25</c:v>
                </c:pt>
              </c:numCache>
            </c:numRef>
          </c:val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Chart'!$C$4:$C$8</c:f>
              <c:numCache>
                <c:formatCode>"$"#,##0.00</c:formatCode>
                <c:ptCount val="4"/>
                <c:pt idx="0">
                  <c:v>30633.3333333333</c:v>
                </c:pt>
                <c:pt idx="1">
                  <c:v>39980</c:v>
                </c:pt>
                <c:pt idx="2">
                  <c:v>33096.6666666667</c:v>
                </c:pt>
                <c:pt idx="3">
                  <c:v>26781.25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7535720"/>
        <c:axId val="1377539464"/>
      </c:barChart>
      <c:catAx>
        <c:axId val="13775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9464"/>
        <c:crosses val="autoZero"/>
        <c:auto val="1"/>
        <c:lblAlgn val="ctr"/>
        <c:lblOffset val="100"/>
        <c:noMultiLvlLbl val="0"/>
      </c:catAx>
      <c:valAx>
        <c:axId val="1377539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5ad5a4-bf53-4a94-8389-f7b93413da83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'Column, Pie, Sunburst Chart'!$M$1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Chart'!$M$2:$M$156</c:f>
              <c:numCache>
                <c:formatCode>General</c:formatCode>
                <c:ptCount val="9"/>
                <c:pt idx="0">
                  <c:v>62.35557713</c:v>
                </c:pt>
                <c:pt idx="1">
                  <c:v>84.91189826</c:v>
                </c:pt>
                <c:pt idx="2">
                  <c:v>54.37241965</c:v>
                </c:pt>
                <c:pt idx="3">
                  <c:v>56.49603034</c:v>
                </c:pt>
                <c:pt idx="4">
                  <c:v>47.96897242</c:v>
                </c:pt>
                <c:pt idx="5">
                  <c:v>102.5289842</c:v>
                </c:pt>
                <c:pt idx="6">
                  <c:v>51.95510887</c:v>
                </c:pt>
                <c:pt idx="7">
                  <c:v>78.02721947</c:v>
                </c:pt>
                <c:pt idx="8">
                  <c:v>55.29711658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20321872"/>
        <c:axId val="1120417536"/>
      </c:barChart>
      <c:catAx>
        <c:axId val="1120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417536"/>
        <c:crosses val="autoZero"/>
        <c:auto val="1"/>
        <c:lblAlgn val="ctr"/>
        <c:lblOffset val="100"/>
        <c:noMultiLvlLbl val="0"/>
      </c:catAx>
      <c:valAx>
        <c:axId val="11204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3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217d60-ac1e-48d6-8d03-5ead52f1c08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'Column, Pie, Sunburst Chart'!$F$1</c:f>
              <c:strCache>
                <c:ptCount val="1"/>
                <c:pt idx="0">
                  <c:v>Retention 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Chart'!$F$2:$F$156</c:f>
              <c:numCache>
                <c:formatCode>0%</c:formatCode>
                <c:ptCount val="9"/>
                <c:pt idx="0">
                  <c:v>0.871545226130653</c:v>
                </c:pt>
                <c:pt idx="1">
                  <c:v>0.710119397142298</c:v>
                </c:pt>
                <c:pt idx="2">
                  <c:v>0.756079461125699</c:v>
                </c:pt>
                <c:pt idx="3">
                  <c:v>0.915259259259259</c:v>
                </c:pt>
                <c:pt idx="4">
                  <c:v>0.764800122062862</c:v>
                </c:pt>
                <c:pt idx="5">
                  <c:v>0.658830807299722</c:v>
                </c:pt>
                <c:pt idx="6">
                  <c:v>0.789021790620559</c:v>
                </c:pt>
                <c:pt idx="7">
                  <c:v>0.835523962804006</c:v>
                </c:pt>
                <c:pt idx="8">
                  <c:v>0.83058639833449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11a528-b9aa-4a55-8756-7eb544d693d3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'Column, Pie, Sunburst Chart'!$M$1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Chart'!$M$2:$M$156</c:f>
              <c:numCache>
                <c:formatCode>General</c:formatCode>
                <c:ptCount val="9"/>
                <c:pt idx="0">
                  <c:v>62.35557713</c:v>
                </c:pt>
                <c:pt idx="1">
                  <c:v>84.91189826</c:v>
                </c:pt>
                <c:pt idx="2">
                  <c:v>54.37241965</c:v>
                </c:pt>
                <c:pt idx="3">
                  <c:v>56.49603034</c:v>
                </c:pt>
                <c:pt idx="4">
                  <c:v>47.96897242</c:v>
                </c:pt>
                <c:pt idx="5">
                  <c:v>102.5289842</c:v>
                </c:pt>
                <c:pt idx="6">
                  <c:v>51.95510887</c:v>
                </c:pt>
                <c:pt idx="7">
                  <c:v>78.02721947</c:v>
                </c:pt>
                <c:pt idx="8">
                  <c:v>55.29711658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20321872"/>
        <c:axId val="1120417536"/>
      </c:barChart>
      <c:catAx>
        <c:axId val="1120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417536"/>
        <c:crosses val="autoZero"/>
        <c:auto val="1"/>
        <c:lblAlgn val="ctr"/>
        <c:lblOffset val="100"/>
        <c:noMultiLvlLbl val="0"/>
      </c:catAx>
      <c:valAx>
        <c:axId val="11204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3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0e455f-d8c3-45e0-b958-0ac3ffc9b96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'Column, Pie, Sunburst Chart'!$F$1</c:f>
              <c:strCache>
                <c:ptCount val="1"/>
                <c:pt idx="0">
                  <c:v>Retention 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Chart'!$F$2:$F$156</c:f>
              <c:numCache>
                <c:formatCode>0%</c:formatCode>
                <c:ptCount val="9"/>
                <c:pt idx="0">
                  <c:v>0.871545226130653</c:v>
                </c:pt>
                <c:pt idx="1">
                  <c:v>0.710119397142298</c:v>
                </c:pt>
                <c:pt idx="2">
                  <c:v>0.756079461125699</c:v>
                </c:pt>
                <c:pt idx="3">
                  <c:v>0.915259259259259</c:v>
                </c:pt>
                <c:pt idx="4">
                  <c:v>0.764800122062862</c:v>
                </c:pt>
                <c:pt idx="5">
                  <c:v>0.658830807299722</c:v>
                </c:pt>
                <c:pt idx="6">
                  <c:v>0.789021790620559</c:v>
                </c:pt>
                <c:pt idx="7">
                  <c:v>0.835523962804006</c:v>
                </c:pt>
                <c:pt idx="8">
                  <c:v>0.83058639833449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7d57d2-3498-4301-9ff6-f38682475fe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[Car_Sales_Kaggle_DV0130EN_Lab3_Ex2Start.xlsx]Bar Chart!PivotTable4</c:name>
    <c:fmtId val="16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Chart'!$B$4:$B$8</c:f>
              <c:numCache>
                <c:formatCode>"$"#,##0.00</c:formatCode>
                <c:ptCount val="4"/>
                <c:pt idx="0">
                  <c:v>21986.6666666667</c:v>
                </c:pt>
                <c:pt idx="1">
                  <c:v>28270</c:v>
                </c:pt>
                <c:pt idx="2">
                  <c:v>29766.6666666667</c:v>
                </c:pt>
                <c:pt idx="3">
                  <c:v>14941.25</c:v>
                </c:pt>
              </c:numCache>
            </c:numRef>
          </c:val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Chart'!$C$4:$C$8</c:f>
              <c:numCache>
                <c:formatCode>"$"#,##0.00</c:formatCode>
                <c:ptCount val="4"/>
                <c:pt idx="0">
                  <c:v>30633.3333333333</c:v>
                </c:pt>
                <c:pt idx="1">
                  <c:v>39980</c:v>
                </c:pt>
                <c:pt idx="2">
                  <c:v>33096.6666666667</c:v>
                </c:pt>
                <c:pt idx="3">
                  <c:v>26781.25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7535720"/>
        <c:axId val="1377539464"/>
      </c:barChart>
      <c:catAx>
        <c:axId val="13775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9464"/>
        <c:crosses val="autoZero"/>
        <c:auto val="1"/>
        <c:lblAlgn val="ctr"/>
        <c:lblOffset val="100"/>
        <c:noMultiLvlLbl val="0"/>
      </c:catAx>
      <c:valAx>
        <c:axId val="1377539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5db560-7f54-4b8d-afdf-bf549d9f60d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866775</xdr:colOff>
      <xdr:row>4</xdr:row>
      <xdr:rowOff>9525</xdr:rowOff>
    </xdr:from>
    <xdr:to>
      <xdr:col>15</xdr:col>
      <xdr:colOff>228600</xdr:colOff>
      <xdr:row>34</xdr:row>
      <xdr:rowOff>38100</xdr:rowOff>
    </xdr:to>
    <xdr:graphicFrame>
      <xdr:nvGraphicFramePr>
        <xdr:cNvPr id="4" name="Chart 3"/>
        <xdr:cNvGraphicFramePr/>
      </xdr:nvGraphicFramePr>
      <xdr:xfrm>
        <a:off x="4171950" y="771525"/>
        <a:ext cx="7400925" cy="574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114300</xdr:colOff>
      <xdr:row>5</xdr:row>
      <xdr:rowOff>38100</xdr:rowOff>
    </xdr:from>
    <xdr:to>
      <xdr:col>21</xdr:col>
      <xdr:colOff>114300</xdr:colOff>
      <xdr:row>17</xdr:row>
      <xdr:rowOff>180969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anufactur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ufactur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58675" y="990600"/>
              <a:ext cx="1600200" cy="242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930275</xdr:colOff>
      <xdr:row>174</xdr:row>
      <xdr:rowOff>0</xdr:rowOff>
    </xdr:from>
    <xdr:to>
      <xdr:col>8</xdr:col>
      <xdr:colOff>587375</xdr:colOff>
      <xdr:row>187</xdr:row>
      <xdr:rowOff>152400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3" name="Mod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3350" y="5334000"/>
              <a:ext cx="26289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441325</xdr:colOff>
      <xdr:row>158</xdr:row>
      <xdr:rowOff>158750</xdr:rowOff>
    </xdr:from>
    <xdr:to>
      <xdr:col>5</xdr:col>
      <xdr:colOff>9525</xdr:colOff>
      <xdr:row>173</xdr:row>
      <xdr:rowOff>44450</xdr:rowOff>
    </xdr:to>
    <xdr:graphicFrame>
      <xdr:nvGraphicFramePr>
        <xdr:cNvPr id="14" name="Chart 13"/>
        <xdr:cNvGraphicFramePr/>
      </xdr:nvGraphicFramePr>
      <xdr:xfrm>
        <a:off x="1460500" y="2444750"/>
        <a:ext cx="4102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5" name="Chart 1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</xdr:col>
      <xdr:colOff>441325</xdr:colOff>
      <xdr:row>177</xdr:row>
      <xdr:rowOff>3175</xdr:rowOff>
    </xdr:from>
    <xdr:to>
      <xdr:col>5</xdr:col>
      <xdr:colOff>9525</xdr:colOff>
      <xdr:row>191</xdr:row>
      <xdr:rowOff>79375</xdr:rowOff>
    </xdr:to>
    <xdr:sp>
      <xdr:nvSpPr>
        <xdr:cNvPr id="2" name="Rectangles 1"/>
        <xdr:cNvSpPr>
          <a:spLocks noTextEdit="1"/>
        </xdr:cNvSpPr>
      </xdr:nvSpPr>
      <xdr:spPr>
        <a:xfrm>
          <a:off x="1460500" y="5908675"/>
          <a:ext cx="410210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PH" sz="1100"/>
            <a:t>This chart isn't available in your version of Excel.
Editing this shape or saving this workbook into a different file format will permanently break the chart.</a:t>
          </a:r>
          <a:endParaRPr lang="en-PH" sz="1100"/>
        </a:p>
      </xdr:txBody>
    </xdr:sp>
    <xdr:clientData/>
  </xdr:twoCellAnchor>
  <xdr:twoCellAnchor>
    <xdr:from>
      <xdr:col>5</xdr:col>
      <xdr:colOff>930275</xdr:colOff>
      <xdr:row>158</xdr:row>
      <xdr:rowOff>158750</xdr:rowOff>
    </xdr:from>
    <xdr:to>
      <xdr:col>10</xdr:col>
      <xdr:colOff>241300</xdr:colOff>
      <xdr:row>173</xdr:row>
      <xdr:rowOff>44450</xdr:rowOff>
    </xdr:to>
    <xdr:graphicFrame>
      <xdr:nvGraphicFramePr>
        <xdr:cNvPr id="3" name="Chart 2"/>
        <xdr:cNvGraphicFramePr/>
      </xdr:nvGraphicFramePr>
      <xdr:xfrm>
        <a:off x="6483350" y="2444750"/>
        <a:ext cx="4006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9525</xdr:rowOff>
    </xdr:from>
    <xdr:to>
      <xdr:col>7</xdr:col>
      <xdr:colOff>434975</xdr:colOff>
      <xdr:row>15</xdr:row>
      <xdr:rowOff>85725</xdr:rowOff>
    </xdr:to>
    <xdr:graphicFrame>
      <xdr:nvGraphicFramePr>
        <xdr:cNvPr id="2" name="Chart 1"/>
        <xdr:cNvGraphicFramePr/>
      </xdr:nvGraphicFramePr>
      <xdr:xfrm>
        <a:off x="600075" y="200025"/>
        <a:ext cx="40354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16</xdr:row>
      <xdr:rowOff>9525</xdr:rowOff>
    </xdr:from>
    <xdr:to>
      <xdr:col>7</xdr:col>
      <xdr:colOff>358775</xdr:colOff>
      <xdr:row>30</xdr:row>
      <xdr:rowOff>85725</xdr:rowOff>
    </xdr:to>
    <xdr:graphicFrame>
      <xdr:nvGraphicFramePr>
        <xdr:cNvPr id="3" name="Chart 2"/>
        <xdr:cNvGraphicFramePr/>
      </xdr:nvGraphicFramePr>
      <xdr:xfrm>
        <a:off x="609600" y="3057525"/>
        <a:ext cx="39497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" name="Chart 14"/>
        <xdr:cNvSpPr/>
      </xdr:nvSpPr>
      <xdr:spPr>
        <a:xfrm>
          <a:off x="0" y="0"/>
          <a:ext cx="0" cy="0"/>
        </a:xfrm>
      </xdr:spPr>
    </xdr:sp>
    <xdr:clientData/>
  </xdr:twoCellAnchor>
  <xdr:twoCellAnchor editAs="absolute">
    <xdr:from>
      <xdr:col>21</xdr:col>
      <xdr:colOff>19050</xdr:colOff>
      <xdr:row>14</xdr:row>
      <xdr:rowOff>161925</xdr:rowOff>
    </xdr:from>
    <xdr:to>
      <xdr:col>25</xdr:col>
      <xdr:colOff>209550</xdr:colOff>
      <xdr:row>28</xdr:row>
      <xdr:rowOff>123825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Mod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20625" y="2828925"/>
              <a:ext cx="25908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19050</xdr:colOff>
      <xdr:row>1</xdr:row>
      <xdr:rowOff>0</xdr:rowOff>
    </xdr:from>
    <xdr:to>
      <xdr:col>20</xdr:col>
      <xdr:colOff>95250</xdr:colOff>
      <xdr:row>31</xdr:row>
      <xdr:rowOff>28575</xdr:rowOff>
    </xdr:to>
    <xdr:graphicFrame>
      <xdr:nvGraphicFramePr>
        <xdr:cNvPr id="7" name="Chart 6"/>
        <xdr:cNvGraphicFramePr/>
      </xdr:nvGraphicFramePr>
      <xdr:xfrm>
        <a:off x="4819650" y="190500"/>
        <a:ext cx="7277100" cy="574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19050</xdr:colOff>
      <xdr:row>1</xdr:row>
      <xdr:rowOff>0</xdr:rowOff>
    </xdr:from>
    <xdr:to>
      <xdr:col>23</xdr:col>
      <xdr:colOff>390525</xdr:colOff>
      <xdr:row>13</xdr:row>
      <xdr:rowOff>142869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anufactur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ufactur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20625" y="190500"/>
              <a:ext cx="1571625" cy="242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026.7017828704" refreshedBy="Stephen Ryan" recordCount="155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containsInteger="1" minValue="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5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77">
      <sharedItems containsSemiMixedTypes="0" containsString="0" containsNumber="1" containsInteger="1" minValue="0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40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80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77"/>
    <cacheField name="Retention %" numFmtId="9"/>
    <cacheField name="Retention Value" numFmtId="9">
      <sharedItems count="2">
        <s v="GOOD"/>
        <s v="POOR"/>
      </sharedItems>
    </cacheField>
    <cacheField name="Engine Size" numFmtId="0"/>
    <cacheField name="Horsepower" numFmtId="0"/>
    <cacheField name="HP Level" numFmtId="0"/>
    <cacheField name="Wheelbase" numFmtId="0"/>
    <cacheField name="Width" numFmtId="0"/>
    <cacheField name="Length" numFmtId="0"/>
    <cacheField name="Curb Weight" numFmtId="0"/>
    <cacheField name="Fuel Capacity" numFmtId="0"/>
    <cacheField name="Fuel Efficiency" numFmtId="0"/>
    <cacheField name="Latest Launch" numFmtId="58"/>
    <cacheField name="Power Perf Factor" numFmtId="0"/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7">
  <location ref="A3:C8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x="27"/>
        <item h="1" sd="0" x="28"/>
        <item h="1"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77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77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58" showAll="0"/>
    <pivotField showAll="0"/>
    <pivotField dragToCol="0" dragToPage="0" dragToRow="0" defaultSubtotal="0" showAll="0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79"/>
    <dataField name="Average of Price" fld="4" subtotal="average" baseField="0" baseItem="78" numFmtId="179"/>
  </dataFields>
  <formats count="4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nufacturer" sourceName="Manufacturer">
  <pivotTables>
    <pivotTable tabId="2" name="PivotTable4"/>
  </pivotTables>
  <data>
    <tabular pivotCacheId="1">
      <items count="30">
        <i x="0" s="1"/>
        <i x="1" s="1"/>
        <i x="2" s="1"/>
        <i x="3" s="1"/>
        <i x="4" s="0"/>
        <i x="5" s="0"/>
        <i x="6" s="0"/>
        <i x="7" s="0"/>
        <i x="8" s="0"/>
        <i x="9" s="0"/>
        <i x="10" s="0"/>
        <i x="11" s="0"/>
        <i x="12" s="0"/>
        <i x="13" s="0"/>
        <i x="14" s="0"/>
        <i x="15" s="0"/>
        <i x="18" s="0"/>
        <i x="17" s="0"/>
        <i x="16" s="0"/>
        <i x="19" s="0"/>
        <i x="20" s="0"/>
        <i x="21" s="0"/>
        <i x="22" s="0"/>
        <i x="23" s="0"/>
        <i x="24" s="0"/>
        <i x="25" s="0"/>
        <i x="26" s="0"/>
        <i x="27" s="0"/>
        <i x="28" s="0"/>
        <i x="29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del" sourceName="Model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ufacturer" cache="Slicer_Manufacturer" caption="Manufacturer" style="SlicerStyleLight3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l" cache="Slicer_Model" caption="Model" style="SlicerStyleLight3" rowHeight="23071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ufacturer 1" cache="Slicer_Manufacturer" caption="Manufacturer" style="SlicerStyleLight3" rowHeight="230716"/>
  <slicer name="Model 1" cache="Slicer_Model" caption="Model" style="SlicerStyleLight3" rowHeight="230716"/>
</slicers>
</file>

<file path=xl/tables/table1.xml><?xml version="1.0" encoding="utf-8"?>
<table xmlns="http://schemas.openxmlformats.org/spreadsheetml/2006/main" id="1" name="Table1" displayName="Table1" ref="A1:S156" totalsRowShown="0">
  <autoFilter xmlns:etc="http://www.wps.cn/officeDocument/2017/etCustomData" ref="A1:S156" etc:filterBottomFollowUsedRange="0"/>
  <tableColumns count="19">
    <tableColumn id="2" name="Manufacturer" dataDxfId="4"/>
    <tableColumn id="1" name="Model" dataDxfId="5"/>
    <tableColumn id="4" name="Unit Sales" dataDxfId="6"/>
    <tableColumn id="5" name="Price" dataDxfId="7"/>
    <tableColumn id="6" name="Year Resale Value" dataDxfId="8"/>
    <tableColumn id="7" name="Retention %" dataDxfId="9">
      <calculatedColumnFormula>SUM(E2/D2)</calculatedColumnFormula>
    </tableColumn>
    <tableColumn id="8" name="Retention Value" dataDxfId="10">
      <calculatedColumnFormula>IF(F2&gt;69%,"GOOD","POOR")</calculatedColumnFormula>
    </tableColumn>
    <tableColumn id="9" name="Engine Size" dataDxfId="11"/>
    <tableColumn id="10" name="Horsepower" dataDxfId="12"/>
    <tableColumn id="11" name="HP Level" dataDxfId="13">
      <calculatedColumnFormula array="1">_xlfn.IFS(I2&gt;299,"High HP",I2&gt;99,"Medium HP",I2&lt;100,"Low HP")</calculatedColumnFormula>
    </tableColumn>
    <tableColumn id="3" name="Vehicle_type" dataDxfId="14"/>
    <tableColumn id="17" name="Fuel Efficiency" dataDxfId="15"/>
    <tableColumn id="19" name="Power Perf Factor" dataDxfId="16"/>
    <tableColumn id="12" name="Wheelbase" dataDxfId="17"/>
    <tableColumn id="13" name="Width" dataDxfId="18"/>
    <tableColumn id="14" name="Length" dataDxfId="19"/>
    <tableColumn id="15" name="Curb Weight" dataDxfId="20"/>
    <tableColumn id="16" name="Fuel Capacity" dataDxfId="21"/>
    <tableColumn id="18" name="Latest Launch" dataDxfId="2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S156" totalsRowShown="0">
  <autoFilter xmlns:etc="http://www.wps.cn/officeDocument/2017/etCustomData" ref="A1:S156" etc:filterBottomFollowUsedRange="0">
    <filterColumn colId="0">
      <customFilters>
        <customFilter operator="equal" val="Toyota"/>
      </customFilters>
    </filterColumn>
  </autoFilter>
  <sortState ref="A1:S156">
    <sortCondition ref="B1:B156"/>
  </sortState>
  <tableColumns count="19">
    <tableColumn id="2" name="Manufacturer" dataDxfId="25"/>
    <tableColumn id="1" name="Model" dataDxfId="26"/>
    <tableColumn id="4" name="Unit Sales" dataDxfId="27"/>
    <tableColumn id="5" name="Price" dataDxfId="28"/>
    <tableColumn id="6" name="Year Resale Value" dataDxfId="29"/>
    <tableColumn id="7" name="Retention %" dataDxfId="30">
      <calculatedColumnFormula>SUM(E2/D2)</calculatedColumnFormula>
    </tableColumn>
    <tableColumn id="8" name="Retention Value" dataDxfId="31">
      <calculatedColumnFormula>IF(F2&gt;69%,"GOOD","POOR")</calculatedColumnFormula>
    </tableColumn>
    <tableColumn id="9" name="Engine Size" dataDxfId="32"/>
    <tableColumn id="10" name="Horsepower" dataDxfId="33"/>
    <tableColumn id="11" name="HP Level" dataDxfId="34">
      <calculatedColumnFormula array="1">_xlfn.IFS(I2&gt;299,"High HP",I2&gt;99,"Medium HP",I2&lt;100,"Low HP")</calculatedColumnFormula>
    </tableColumn>
    <tableColumn id="3" name="Vehicle_type" dataDxfId="35"/>
    <tableColumn id="17" name="Fuel Efficiency" dataDxfId="36"/>
    <tableColumn id="19" name="Power Perf Factor" dataDxfId="37"/>
    <tableColumn id="16" name="Fuel Capacity" dataDxfId="38"/>
    <tableColumn id="12" name="Wheelbase" dataDxfId="39"/>
    <tableColumn id="13" name="Width" dataDxfId="40"/>
    <tableColumn id="14" name="Length" dataDxfId="41"/>
    <tableColumn id="15" name="Curb Weight" dataDxfId="42"/>
    <tableColumn id="18" name="Latest Launch" dataDxfId="4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workbookViewId="0">
      <selection activeCell="F1" sqref="F1"/>
    </sheetView>
  </sheetViews>
  <sheetFormatPr defaultColWidth="9.14285714285714" defaultRowHeight="15"/>
  <cols>
    <col min="1" max="1" width="15.2857142857143" customWidth="1"/>
    <col min="2" max="2" width="15.4285714285714" customWidth="1"/>
    <col min="3" max="3" width="20.4285714285714" customWidth="1"/>
    <col min="4" max="4" width="12.7142857142857" style="2" customWidth="1"/>
    <col min="5" max="5" width="19.4285714285714" customWidth="1"/>
    <col min="6" max="6" width="14" customWidth="1"/>
    <col min="7" max="7" width="17.4285714285714" customWidth="1"/>
    <col min="8" max="8" width="13.1428571428571" customWidth="1"/>
    <col min="9" max="9" width="14" customWidth="1"/>
    <col min="10" max="10" width="11.8571428571429" customWidth="1"/>
    <col min="11" max="11" width="14.8571428571429" customWidth="1"/>
    <col min="12" max="12" width="14.7142857142857" customWidth="1"/>
    <col min="13" max="13" width="17.8571428571429" customWidth="1"/>
    <col min="14" max="14" width="11" customWidth="1"/>
    <col min="15" max="15" width="6.42857142857143" customWidth="1"/>
    <col min="16" max="16" width="7" customWidth="1"/>
    <col min="17" max="17" width="12.2857142857143" customWidth="1"/>
    <col min="18" max="18" width="13.1428571428571" customWidth="1"/>
    <col min="19" max="19" width="13.4285714285714" customWidth="1"/>
    <col min="20" max="22" width="8.85714285714286"/>
    <col min="23" max="23" width="11.2857142857143" customWidth="1"/>
    <col min="24" max="24" width="7.42857142857143" customWidth="1"/>
    <col min="25" max="25" width="11.4285714285714" customWidth="1"/>
    <col min="26" max="26" width="7.85714285714286" customWidth="1"/>
    <col min="27" max="27" width="16.4285714285714" customWidth="1"/>
  </cols>
  <sheetData>
    <row r="1" s="1" customFormat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5" t="s">
        <v>19</v>
      </c>
      <c r="B2" s="6" t="s">
        <v>20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0.76093023255814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21</v>
      </c>
      <c r="L2" s="10">
        <v>28</v>
      </c>
      <c r="M2" s="10">
        <v>58.28014952</v>
      </c>
      <c r="N2" s="10">
        <v>101.2</v>
      </c>
      <c r="O2" s="10">
        <v>67.3</v>
      </c>
      <c r="P2" s="10">
        <v>172.4</v>
      </c>
      <c r="Q2" s="10">
        <v>2.639</v>
      </c>
      <c r="R2" s="10">
        <v>13.2</v>
      </c>
      <c r="S2" s="11">
        <v>40941</v>
      </c>
    </row>
    <row r="3" spans="1:19">
      <c r="A3" s="5" t="s">
        <v>19</v>
      </c>
      <c r="B3" s="6" t="s">
        <v>22</v>
      </c>
      <c r="C3" s="7">
        <v>39384</v>
      </c>
      <c r="D3" s="8">
        <v>28400</v>
      </c>
      <c r="E3" s="8">
        <v>19875</v>
      </c>
      <c r="F3" s="9">
        <f t="shared" si="0"/>
        <v>0.699823943661972</v>
      </c>
      <c r="G3" s="9" t="str">
        <f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21</v>
      </c>
      <c r="L3" s="10">
        <v>25</v>
      </c>
      <c r="M3" s="10">
        <v>91.37077766</v>
      </c>
      <c r="N3" s="10">
        <v>108.1</v>
      </c>
      <c r="O3" s="10">
        <v>70.3</v>
      </c>
      <c r="P3" s="10">
        <v>192.9</v>
      </c>
      <c r="Q3" s="10">
        <v>3.517</v>
      </c>
      <c r="R3" s="10">
        <v>17.2</v>
      </c>
      <c r="S3" s="11">
        <v>40697</v>
      </c>
    </row>
    <row r="4" spans="1:19">
      <c r="A4" s="5" t="s">
        <v>19</v>
      </c>
      <c r="B4" s="6" t="s">
        <v>23</v>
      </c>
      <c r="C4" s="7">
        <v>8588</v>
      </c>
      <c r="D4" s="8">
        <v>42000</v>
      </c>
      <c r="E4" s="8">
        <v>29725</v>
      </c>
      <c r="F4" s="9">
        <f t="shared" si="0"/>
        <v>0.707738095238095</v>
      </c>
      <c r="G4" s="9" t="str">
        <f>IF(F4&gt;69%,"GOOD","POOR")</f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21</v>
      </c>
      <c r="L4" s="10">
        <v>22</v>
      </c>
      <c r="M4" s="10">
        <v>91.38977933</v>
      </c>
      <c r="N4" s="10">
        <v>114.6</v>
      </c>
      <c r="O4" s="10">
        <v>71.4</v>
      </c>
      <c r="P4" s="10">
        <v>196.6</v>
      </c>
      <c r="Q4" s="10">
        <v>3.85</v>
      </c>
      <c r="R4" s="10">
        <v>18</v>
      </c>
      <c r="S4" s="11">
        <v>40612</v>
      </c>
    </row>
    <row r="5" spans="1:23">
      <c r="A5" s="5" t="s">
        <v>24</v>
      </c>
      <c r="B5" s="6" t="s">
        <v>25</v>
      </c>
      <c r="C5" s="7">
        <v>20397</v>
      </c>
      <c r="D5" s="8">
        <v>23990</v>
      </c>
      <c r="E5" s="8">
        <v>22255</v>
      </c>
      <c r="F5" s="9">
        <f t="shared" si="0"/>
        <v>0.927678199249687</v>
      </c>
      <c r="G5" s="9" t="str">
        <f t="shared" ref="G5:G66" si="1">IF(F5&gt;69%,"GOOD","POOR")</f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21</v>
      </c>
      <c r="L5" s="10">
        <v>27</v>
      </c>
      <c r="M5" s="10">
        <v>62.7776392</v>
      </c>
      <c r="N5" s="10">
        <v>102.6</v>
      </c>
      <c r="O5" s="10">
        <v>68.2</v>
      </c>
      <c r="P5" s="10">
        <v>178</v>
      </c>
      <c r="Q5" s="10">
        <v>2.998</v>
      </c>
      <c r="R5" s="10">
        <v>16.4</v>
      </c>
      <c r="S5" s="11">
        <v>40824</v>
      </c>
      <c r="U5" s="1"/>
      <c r="W5" s="12"/>
    </row>
    <row r="6" spans="1:23">
      <c r="A6" s="5" t="s">
        <v>24</v>
      </c>
      <c r="B6" s="6" t="s">
        <v>26</v>
      </c>
      <c r="C6" s="7">
        <v>18780</v>
      </c>
      <c r="D6" s="8">
        <v>33950</v>
      </c>
      <c r="E6" s="8">
        <v>23555</v>
      </c>
      <c r="F6" s="9">
        <f t="shared" si="0"/>
        <v>0.693814432989691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21</v>
      </c>
      <c r="L6" s="10">
        <v>22</v>
      </c>
      <c r="M6" s="10">
        <v>84.56510502</v>
      </c>
      <c r="N6" s="10">
        <v>108.7</v>
      </c>
      <c r="O6" s="10">
        <v>76.1</v>
      </c>
      <c r="P6" s="10">
        <v>192</v>
      </c>
      <c r="Q6" s="10">
        <v>3.561</v>
      </c>
      <c r="R6" s="10">
        <v>18.5</v>
      </c>
      <c r="S6" s="11">
        <v>40764</v>
      </c>
      <c r="W6" s="12"/>
    </row>
    <row r="7" spans="1:23">
      <c r="A7" s="5" t="s">
        <v>24</v>
      </c>
      <c r="B7" s="6" t="s">
        <v>27</v>
      </c>
      <c r="C7" s="7">
        <v>1380</v>
      </c>
      <c r="D7" s="8">
        <v>62000</v>
      </c>
      <c r="E7" s="8">
        <v>39000</v>
      </c>
      <c r="F7" s="9">
        <f t="shared" si="0"/>
        <v>0.629032258064516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21</v>
      </c>
      <c r="L7" s="10">
        <v>21</v>
      </c>
      <c r="M7" s="10">
        <v>134.6568582</v>
      </c>
      <c r="N7" s="10">
        <v>113</v>
      </c>
      <c r="O7" s="10">
        <v>74</v>
      </c>
      <c r="P7" s="10">
        <v>198.2</v>
      </c>
      <c r="Q7" s="10">
        <v>3.902</v>
      </c>
      <c r="R7" s="10">
        <v>23.7</v>
      </c>
      <c r="S7" s="11">
        <v>40966</v>
      </c>
      <c r="W7" s="12"/>
    </row>
    <row r="8" spans="1:23">
      <c r="A8" s="5" t="s">
        <v>28</v>
      </c>
      <c r="B8" s="6" t="s">
        <v>29</v>
      </c>
      <c r="C8" s="7">
        <v>19747</v>
      </c>
      <c r="D8" s="8">
        <v>26990</v>
      </c>
      <c r="E8" s="8">
        <v>24500</v>
      </c>
      <c r="F8" s="9">
        <f t="shared" si="0"/>
        <v>0.907743608743979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21</v>
      </c>
      <c r="L8" s="10">
        <v>26</v>
      </c>
      <c r="M8" s="10">
        <v>71.19120671</v>
      </c>
      <c r="N8" s="10">
        <v>107.3</v>
      </c>
      <c r="O8" s="10">
        <v>68.4</v>
      </c>
      <c r="P8" s="10">
        <v>176</v>
      </c>
      <c r="Q8" s="10">
        <v>3.179</v>
      </c>
      <c r="R8" s="10">
        <v>16.6</v>
      </c>
      <c r="S8" s="11">
        <v>40722</v>
      </c>
      <c r="W8" s="12"/>
    </row>
    <row r="9" spans="1:23">
      <c r="A9" s="5" t="s">
        <v>28</v>
      </c>
      <c r="B9" s="6" t="s">
        <v>30</v>
      </c>
      <c r="C9" s="7">
        <v>9231</v>
      </c>
      <c r="D9" s="8">
        <v>33400</v>
      </c>
      <c r="E9" s="8">
        <v>28675</v>
      </c>
      <c r="F9" s="9">
        <f t="shared" si="0"/>
        <v>0.858532934131736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21</v>
      </c>
      <c r="L9" s="10">
        <v>24</v>
      </c>
      <c r="M9" s="10">
        <v>81.87706856</v>
      </c>
      <c r="N9" s="10">
        <v>107.3</v>
      </c>
      <c r="O9" s="10">
        <v>68.5</v>
      </c>
      <c r="P9" s="10">
        <v>176</v>
      </c>
      <c r="Q9" s="10">
        <v>3.197</v>
      </c>
      <c r="R9" s="10">
        <v>16.6</v>
      </c>
      <c r="S9" s="11">
        <v>40937</v>
      </c>
      <c r="W9" s="12"/>
    </row>
    <row r="10" spans="1:23">
      <c r="A10" s="5" t="s">
        <v>28</v>
      </c>
      <c r="B10" s="6" t="s">
        <v>31</v>
      </c>
      <c r="C10" s="7">
        <v>17527</v>
      </c>
      <c r="D10" s="8">
        <v>38900</v>
      </c>
      <c r="E10" s="8">
        <v>36125</v>
      </c>
      <c r="F10" s="9">
        <f t="shared" si="0"/>
        <v>0.92866323907455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21</v>
      </c>
      <c r="L10" s="10">
        <v>25</v>
      </c>
      <c r="M10" s="10">
        <v>83.9987238</v>
      </c>
      <c r="N10" s="10">
        <v>111.4</v>
      </c>
      <c r="O10" s="10">
        <v>70.9</v>
      </c>
      <c r="P10" s="10">
        <v>188</v>
      </c>
      <c r="Q10" s="10">
        <v>3.472</v>
      </c>
      <c r="R10" s="10">
        <v>18.5</v>
      </c>
      <c r="S10" s="11">
        <v>40637</v>
      </c>
      <c r="W10" s="12"/>
    </row>
    <row r="11" spans="1:23">
      <c r="A11" s="5" t="s">
        <v>32</v>
      </c>
      <c r="B11" s="6" t="s">
        <v>33</v>
      </c>
      <c r="C11" s="7">
        <v>91561</v>
      </c>
      <c r="D11" s="8">
        <v>21975</v>
      </c>
      <c r="E11" s="8">
        <v>12475</v>
      </c>
      <c r="F11" s="9">
        <f t="shared" si="0"/>
        <v>0.56769055745165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21</v>
      </c>
      <c r="L11" s="10">
        <v>25</v>
      </c>
      <c r="M11" s="10">
        <v>71.18145132</v>
      </c>
      <c r="N11" s="10">
        <v>109</v>
      </c>
      <c r="O11" s="10">
        <v>72.7</v>
      </c>
      <c r="P11" s="10">
        <v>194.6</v>
      </c>
      <c r="Q11" s="10">
        <v>3.368</v>
      </c>
      <c r="R11" s="10">
        <v>17.5</v>
      </c>
      <c r="S11" s="11">
        <v>40849</v>
      </c>
      <c r="W11" s="12"/>
    </row>
    <row r="12" spans="1:23">
      <c r="A12" s="5" t="s">
        <v>32</v>
      </c>
      <c r="B12" s="6" t="s">
        <v>34</v>
      </c>
      <c r="C12" s="7">
        <v>39350</v>
      </c>
      <c r="D12" s="8">
        <v>25300</v>
      </c>
      <c r="E12" s="8">
        <v>13740</v>
      </c>
      <c r="F12" s="9">
        <f t="shared" si="0"/>
        <v>0.543083003952569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21</v>
      </c>
      <c r="L12" s="10">
        <v>23</v>
      </c>
      <c r="M12" s="10">
        <v>95.63670253</v>
      </c>
      <c r="N12" s="10">
        <v>109</v>
      </c>
      <c r="O12" s="10">
        <v>72.7</v>
      </c>
      <c r="P12" s="10">
        <v>196.2</v>
      </c>
      <c r="Q12" s="10">
        <v>3.543</v>
      </c>
      <c r="R12" s="10">
        <v>17.5</v>
      </c>
      <c r="S12" s="11">
        <v>40789</v>
      </c>
      <c r="W12" s="12"/>
    </row>
    <row r="13" spans="1:23">
      <c r="A13" s="5" t="s">
        <v>32</v>
      </c>
      <c r="B13" s="6" t="s">
        <v>35</v>
      </c>
      <c r="C13" s="7">
        <v>27851</v>
      </c>
      <c r="D13" s="8">
        <v>31965</v>
      </c>
      <c r="E13" s="8">
        <v>20190</v>
      </c>
      <c r="F13" s="9">
        <f t="shared" si="0"/>
        <v>0.631628343500704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21</v>
      </c>
      <c r="L13" s="10">
        <v>24</v>
      </c>
      <c r="M13" s="10">
        <v>85.82840825</v>
      </c>
      <c r="N13" s="10">
        <v>113.8</v>
      </c>
      <c r="O13" s="10">
        <v>74.7</v>
      </c>
      <c r="P13" s="10">
        <v>206.8</v>
      </c>
      <c r="Q13" s="10">
        <v>3.778</v>
      </c>
      <c r="R13" s="10">
        <v>18.5</v>
      </c>
      <c r="S13" s="11">
        <v>40991</v>
      </c>
      <c r="W13" s="12"/>
    </row>
    <row r="14" spans="1:19">
      <c r="A14" s="5" t="s">
        <v>32</v>
      </c>
      <c r="B14" s="6" t="s">
        <v>36</v>
      </c>
      <c r="C14" s="7">
        <v>83257</v>
      </c>
      <c r="D14" s="8">
        <v>27885</v>
      </c>
      <c r="E14" s="8">
        <v>13360</v>
      </c>
      <c r="F14" s="9">
        <f t="shared" si="0"/>
        <v>0.479110632956787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21</v>
      </c>
      <c r="L14" s="10">
        <v>25</v>
      </c>
      <c r="M14" s="10">
        <v>84.25452581</v>
      </c>
      <c r="N14" s="10">
        <v>112.2</v>
      </c>
      <c r="O14" s="10">
        <v>73.5</v>
      </c>
      <c r="P14" s="10">
        <v>200</v>
      </c>
      <c r="Q14" s="10">
        <v>3.591</v>
      </c>
      <c r="R14" s="10">
        <v>17.5</v>
      </c>
      <c r="S14" s="11">
        <v>40747</v>
      </c>
    </row>
    <row r="15" spans="1:19">
      <c r="A15" s="5" t="s">
        <v>37</v>
      </c>
      <c r="B15" s="6" t="s">
        <v>38</v>
      </c>
      <c r="C15" s="7">
        <v>63729</v>
      </c>
      <c r="D15" s="8">
        <v>39895</v>
      </c>
      <c r="E15" s="8">
        <v>22525</v>
      </c>
      <c r="F15" s="9">
        <f t="shared" si="0"/>
        <v>0.564607093620754</v>
      </c>
      <c r="G15" s="9" t="str">
        <f t="shared" si="1"/>
        <v>POOR</v>
      </c>
      <c r="H15" s="10">
        <v>4.6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21</v>
      </c>
      <c r="L15" s="10">
        <v>22</v>
      </c>
      <c r="M15" s="10">
        <v>113.8545976</v>
      </c>
      <c r="N15" s="10">
        <v>115.3</v>
      </c>
      <c r="O15" s="10">
        <v>74.5</v>
      </c>
      <c r="P15" s="10">
        <v>207.2</v>
      </c>
      <c r="Q15" s="10">
        <v>3.978</v>
      </c>
      <c r="R15" s="10">
        <v>18.5</v>
      </c>
      <c r="S15" s="11">
        <v>40962</v>
      </c>
    </row>
    <row r="16" spans="1:22">
      <c r="A16" s="5" t="s">
        <v>37</v>
      </c>
      <c r="B16" s="6" t="s">
        <v>39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21</v>
      </c>
      <c r="L16" s="10">
        <v>22</v>
      </c>
      <c r="M16" s="10">
        <v>115.6213578</v>
      </c>
      <c r="N16" s="10">
        <v>112.2</v>
      </c>
      <c r="O16" s="10">
        <v>75</v>
      </c>
      <c r="P16" s="10">
        <v>201</v>
      </c>
      <c r="Q16" s="10">
        <v>3.875</v>
      </c>
      <c r="R16" s="10">
        <v>18.5</v>
      </c>
      <c r="S16" s="11">
        <v>40662</v>
      </c>
      <c r="V16" s="12"/>
    </row>
    <row r="17" spans="1:19">
      <c r="A17" s="5" t="s">
        <v>37</v>
      </c>
      <c r="B17" s="6" t="s">
        <v>40</v>
      </c>
      <c r="C17" s="7">
        <v>6536</v>
      </c>
      <c r="D17" s="8">
        <v>39665</v>
      </c>
      <c r="E17" s="8">
        <v>25725</v>
      </c>
      <c r="F17" s="9">
        <f t="shared" si="0"/>
        <v>0.648556662044624</v>
      </c>
      <c r="G17" s="9" t="str">
        <f t="shared" si="1"/>
        <v>POOR</v>
      </c>
      <c r="H17" s="10">
        <v>4.6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21</v>
      </c>
      <c r="L17" s="10">
        <v>22</v>
      </c>
      <c r="M17" s="10">
        <v>113.7658739</v>
      </c>
      <c r="N17" s="10">
        <v>108</v>
      </c>
      <c r="O17" s="10">
        <v>75.5</v>
      </c>
      <c r="P17" s="10">
        <v>200.6</v>
      </c>
      <c r="Q17" s="10">
        <v>3.843</v>
      </c>
      <c r="R17" s="10">
        <v>19</v>
      </c>
      <c r="S17" s="11">
        <v>40874</v>
      </c>
    </row>
    <row r="18" spans="1:19">
      <c r="A18" s="5" t="s">
        <v>37</v>
      </c>
      <c r="B18" s="6" t="s">
        <v>41</v>
      </c>
      <c r="C18" s="7">
        <v>11185</v>
      </c>
      <c r="D18" s="8">
        <v>31010</v>
      </c>
      <c r="E18" s="8">
        <v>18225</v>
      </c>
      <c r="F18" s="9">
        <f t="shared" si="0"/>
        <v>0.587713640761045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21</v>
      </c>
      <c r="L18" s="10">
        <v>22</v>
      </c>
      <c r="M18" s="10">
        <v>83.48309358</v>
      </c>
      <c r="N18" s="10">
        <v>107.4</v>
      </c>
      <c r="O18" s="10">
        <v>70.3</v>
      </c>
      <c r="P18" s="10">
        <v>194.8</v>
      </c>
      <c r="Q18" s="10">
        <v>3.77</v>
      </c>
      <c r="R18" s="10">
        <v>18</v>
      </c>
      <c r="S18" s="11">
        <v>40814</v>
      </c>
    </row>
    <row r="19" spans="1:19">
      <c r="A19" s="5" t="s">
        <v>37</v>
      </c>
      <c r="B19" s="6" t="s">
        <v>42</v>
      </c>
      <c r="C19" s="7">
        <v>14785</v>
      </c>
      <c r="D19" s="8">
        <v>46225</v>
      </c>
      <c r="E19" s="8">
        <v>31245</v>
      </c>
      <c r="F19" s="9">
        <f t="shared" si="0"/>
        <v>0.675932936722553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43</v>
      </c>
      <c r="L19" s="10">
        <v>15</v>
      </c>
      <c r="M19" s="10">
        <v>109.5091165</v>
      </c>
      <c r="N19" s="10">
        <v>117.5</v>
      </c>
      <c r="O19" s="10">
        <v>77</v>
      </c>
      <c r="P19" s="10">
        <v>201.2</v>
      </c>
      <c r="Q19" s="10">
        <v>5.572</v>
      </c>
      <c r="R19" s="10">
        <v>30</v>
      </c>
      <c r="S19" s="11">
        <v>41016</v>
      </c>
    </row>
    <row r="20" spans="1:19">
      <c r="A20" s="5" t="s">
        <v>44</v>
      </c>
      <c r="B20" s="6" t="s">
        <v>45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21</v>
      </c>
      <c r="L20" s="10">
        <v>27</v>
      </c>
      <c r="M20" s="10">
        <v>46.36334747</v>
      </c>
      <c r="N20" s="10">
        <v>104.1</v>
      </c>
      <c r="O20" s="10">
        <v>67.9</v>
      </c>
      <c r="P20" s="10">
        <v>180.9</v>
      </c>
      <c r="Q20" s="10">
        <v>2.676</v>
      </c>
      <c r="R20" s="10">
        <v>14.3</v>
      </c>
      <c r="S20" s="11">
        <v>40772</v>
      </c>
    </row>
    <row r="21" spans="1:26">
      <c r="A21" s="5" t="s">
        <v>44</v>
      </c>
      <c r="B21" s="6" t="s">
        <v>46</v>
      </c>
      <c r="C21" s="7">
        <v>135126</v>
      </c>
      <c r="D21" s="8">
        <v>16535</v>
      </c>
      <c r="E21" s="8">
        <v>11225</v>
      </c>
      <c r="F21" s="9">
        <f t="shared" si="0"/>
        <v>0.678863017840943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21</v>
      </c>
      <c r="L21" s="10">
        <v>25</v>
      </c>
      <c r="M21" s="10">
        <v>67.31446216</v>
      </c>
      <c r="N21" s="10">
        <v>107</v>
      </c>
      <c r="O21" s="10">
        <v>69.4</v>
      </c>
      <c r="P21" s="10">
        <v>190.4</v>
      </c>
      <c r="Q21" s="10">
        <v>3.051</v>
      </c>
      <c r="R21" s="10">
        <v>15</v>
      </c>
      <c r="S21" s="11">
        <v>40987</v>
      </c>
      <c r="V21" s="1"/>
      <c r="W21" s="1"/>
      <c r="X21" s="13"/>
      <c r="Y21" s="13"/>
      <c r="Z21" s="13"/>
    </row>
    <row r="22" spans="1:26">
      <c r="A22" s="5" t="s">
        <v>44</v>
      </c>
      <c r="B22" s="6" t="s">
        <v>47</v>
      </c>
      <c r="C22" s="7">
        <v>24629</v>
      </c>
      <c r="D22" s="8">
        <v>18890</v>
      </c>
      <c r="E22" s="8">
        <v>10310</v>
      </c>
      <c r="F22" s="9">
        <f t="shared" si="0"/>
        <v>0.54579142403388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21</v>
      </c>
      <c r="L22" s="10">
        <v>25</v>
      </c>
      <c r="M22" s="10">
        <v>69.9913956</v>
      </c>
      <c r="N22" s="10">
        <v>107.5</v>
      </c>
      <c r="O22" s="10">
        <v>72.5</v>
      </c>
      <c r="P22" s="10">
        <v>200.9</v>
      </c>
      <c r="Q22" s="10">
        <v>3.33</v>
      </c>
      <c r="R22" s="10">
        <v>16.6</v>
      </c>
      <c r="S22" s="11">
        <v>40687</v>
      </c>
      <c r="X22" s="14"/>
      <c r="Y22" s="14"/>
      <c r="Z22" s="14"/>
    </row>
    <row r="23" spans="1:19">
      <c r="A23" s="5" t="s">
        <v>44</v>
      </c>
      <c r="B23" s="6" t="s">
        <v>48</v>
      </c>
      <c r="C23" s="7">
        <v>42593</v>
      </c>
      <c r="D23" s="8">
        <v>19390</v>
      </c>
      <c r="E23" s="8">
        <v>11525</v>
      </c>
      <c r="F23" s="9">
        <f t="shared" si="0"/>
        <v>0.594378545642084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21</v>
      </c>
      <c r="L23" s="10">
        <v>27</v>
      </c>
      <c r="M23" s="10">
        <v>72.03091719</v>
      </c>
      <c r="N23" s="10">
        <v>110.5</v>
      </c>
      <c r="O23" s="10">
        <v>72.7</v>
      </c>
      <c r="P23" s="10">
        <v>197.9</v>
      </c>
      <c r="Q23" s="10">
        <v>3.34</v>
      </c>
      <c r="R23" s="10">
        <v>17</v>
      </c>
      <c r="S23" s="11">
        <v>40899</v>
      </c>
    </row>
    <row r="24" spans="1:19">
      <c r="A24" s="5" t="s">
        <v>44</v>
      </c>
      <c r="B24" s="6" t="s">
        <v>49</v>
      </c>
      <c r="C24" s="7">
        <v>26402</v>
      </c>
      <c r="D24" s="8">
        <v>24340</v>
      </c>
      <c r="E24" s="8">
        <v>13025</v>
      </c>
      <c r="F24" s="9">
        <f t="shared" si="0"/>
        <v>0.535127362366475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21</v>
      </c>
      <c r="L24" s="10">
        <v>25</v>
      </c>
      <c r="M24" s="10">
        <v>81.11854333</v>
      </c>
      <c r="N24" s="10">
        <v>101.1</v>
      </c>
      <c r="O24" s="10">
        <v>74.1</v>
      </c>
      <c r="P24" s="10">
        <v>193.2</v>
      </c>
      <c r="Q24" s="10">
        <v>3.5</v>
      </c>
      <c r="R24" s="10">
        <v>16.8</v>
      </c>
      <c r="S24" s="11">
        <v>40839</v>
      </c>
    </row>
    <row r="25" spans="1:19">
      <c r="A25" s="5" t="s">
        <v>44</v>
      </c>
      <c r="B25" s="6" t="s">
        <v>50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21</v>
      </c>
      <c r="L25" s="10">
        <v>22</v>
      </c>
      <c r="M25" s="10">
        <v>141.14115</v>
      </c>
      <c r="N25" s="10">
        <v>104.5</v>
      </c>
      <c r="O25" s="10">
        <v>73.6</v>
      </c>
      <c r="P25" s="10">
        <v>179.7</v>
      </c>
      <c r="Q25" s="10">
        <v>3.21</v>
      </c>
      <c r="R25" s="10">
        <v>19.1</v>
      </c>
      <c r="S25" s="11">
        <v>41041</v>
      </c>
    </row>
    <row r="26" spans="1:19">
      <c r="A26" s="5" t="s">
        <v>44</v>
      </c>
      <c r="B26" s="6" t="s">
        <v>51</v>
      </c>
      <c r="C26" s="7">
        <v>32299</v>
      </c>
      <c r="D26" s="8">
        <v>13960</v>
      </c>
      <c r="E26" s="8">
        <v>9125</v>
      </c>
      <c r="F26" s="9">
        <f t="shared" si="0"/>
        <v>0.65365329512894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21</v>
      </c>
      <c r="L26" s="10">
        <v>33</v>
      </c>
      <c r="M26" s="10">
        <v>48.2976361</v>
      </c>
      <c r="N26" s="10">
        <v>97.1</v>
      </c>
      <c r="O26" s="10">
        <v>66.7</v>
      </c>
      <c r="P26" s="10">
        <v>174.3</v>
      </c>
      <c r="Q26" s="10">
        <v>2.398</v>
      </c>
      <c r="R26" s="10">
        <v>13.2</v>
      </c>
      <c r="S26" s="11">
        <v>40797</v>
      </c>
    </row>
    <row r="27" spans="1:19">
      <c r="A27" s="5" t="s">
        <v>44</v>
      </c>
      <c r="B27" s="6" t="s">
        <v>52</v>
      </c>
      <c r="C27" s="7">
        <v>21855</v>
      </c>
      <c r="D27" s="8">
        <v>9235</v>
      </c>
      <c r="E27" s="8">
        <v>5160</v>
      </c>
      <c r="F27" s="9">
        <f t="shared" si="0"/>
        <v>0.558743909041689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21</v>
      </c>
      <c r="L27" s="10">
        <v>45</v>
      </c>
      <c r="M27" s="10">
        <v>23.27627233</v>
      </c>
      <c r="N27" s="10">
        <v>93.1</v>
      </c>
      <c r="O27" s="10">
        <v>62.6</v>
      </c>
      <c r="P27" s="10">
        <v>149.4</v>
      </c>
      <c r="Q27" s="10">
        <v>1.895</v>
      </c>
      <c r="R27" s="10">
        <v>10.3</v>
      </c>
      <c r="S27" s="11">
        <v>41012</v>
      </c>
    </row>
    <row r="28" spans="1:19">
      <c r="A28" s="5" t="s">
        <v>44</v>
      </c>
      <c r="B28" s="6" t="s">
        <v>53</v>
      </c>
      <c r="C28" s="7">
        <v>107995</v>
      </c>
      <c r="D28" s="8">
        <v>18890</v>
      </c>
      <c r="E28" s="8">
        <v>11550</v>
      </c>
      <c r="F28" s="9">
        <f t="shared" si="0"/>
        <v>0.611434621492853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21</v>
      </c>
      <c r="L28" s="10">
        <v>27</v>
      </c>
      <c r="M28" s="10">
        <v>71.83803944</v>
      </c>
      <c r="N28" s="10">
        <v>110.5</v>
      </c>
      <c r="O28" s="10">
        <v>73</v>
      </c>
      <c r="P28" s="10">
        <v>200</v>
      </c>
      <c r="Q28" s="10">
        <v>3.389</v>
      </c>
      <c r="R28" s="10">
        <v>17</v>
      </c>
      <c r="S28" s="11">
        <v>40712</v>
      </c>
    </row>
    <row r="29" spans="1:19">
      <c r="A29" s="5" t="s">
        <v>54</v>
      </c>
      <c r="B29" s="6" t="s">
        <v>55</v>
      </c>
      <c r="C29" s="7">
        <v>7854</v>
      </c>
      <c r="D29" s="8">
        <v>19840</v>
      </c>
      <c r="E29" s="8">
        <v>12360</v>
      </c>
      <c r="F29" s="9">
        <f t="shared" si="0"/>
        <v>0.622983870967742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21</v>
      </c>
      <c r="L29" s="10">
        <v>24</v>
      </c>
      <c r="M29" s="10">
        <v>65.95718396</v>
      </c>
      <c r="N29" s="10">
        <v>103.7</v>
      </c>
      <c r="O29" s="10">
        <v>69.7</v>
      </c>
      <c r="P29" s="10">
        <v>190.9</v>
      </c>
      <c r="Q29" s="10">
        <v>2.967</v>
      </c>
      <c r="R29" s="10">
        <v>15.9</v>
      </c>
      <c r="S29" s="11">
        <v>40924</v>
      </c>
    </row>
    <row r="30" spans="1:19">
      <c r="A30" s="5" t="s">
        <v>54</v>
      </c>
      <c r="B30" s="6" t="s">
        <v>56</v>
      </c>
      <c r="C30" s="7">
        <v>32775</v>
      </c>
      <c r="D30" s="8">
        <v>24495</v>
      </c>
      <c r="E30" s="8">
        <v>14180</v>
      </c>
      <c r="F30" s="9">
        <f t="shared" si="0"/>
        <v>0.578893651765666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21</v>
      </c>
      <c r="L30" s="10">
        <v>24</v>
      </c>
      <c r="M30" s="10">
        <v>69.52135505</v>
      </c>
      <c r="N30" s="10">
        <v>106</v>
      </c>
      <c r="O30" s="10">
        <v>69.2</v>
      </c>
      <c r="P30" s="10">
        <v>193</v>
      </c>
      <c r="Q30" s="10">
        <v>3.332</v>
      </c>
      <c r="R30" s="10">
        <v>16</v>
      </c>
      <c r="S30" s="11">
        <v>40864</v>
      </c>
    </row>
    <row r="31" spans="1:19">
      <c r="A31" s="5" t="s">
        <v>54</v>
      </c>
      <c r="B31" s="6" t="s">
        <v>57</v>
      </c>
      <c r="C31" s="7">
        <v>31148</v>
      </c>
      <c r="D31" s="8">
        <v>22245</v>
      </c>
      <c r="E31" s="8">
        <v>13725</v>
      </c>
      <c r="F31" s="9">
        <f t="shared" si="0"/>
        <v>0.616992582602832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21</v>
      </c>
      <c r="L31" s="10">
        <v>26</v>
      </c>
      <c r="M31" s="10">
        <v>80.02378204</v>
      </c>
      <c r="N31" s="10">
        <v>113</v>
      </c>
      <c r="O31" s="10">
        <v>74.4</v>
      </c>
      <c r="P31" s="10">
        <v>209.1</v>
      </c>
      <c r="Q31" s="10">
        <v>3.452</v>
      </c>
      <c r="R31" s="10">
        <v>17</v>
      </c>
      <c r="S31" s="11">
        <v>41066</v>
      </c>
    </row>
    <row r="32" spans="1:19">
      <c r="A32" s="5" t="s">
        <v>54</v>
      </c>
      <c r="B32" s="6" t="s">
        <v>58</v>
      </c>
      <c r="C32" s="7">
        <v>32306</v>
      </c>
      <c r="D32" s="8">
        <v>16480</v>
      </c>
      <c r="E32" s="8">
        <v>12640</v>
      </c>
      <c r="F32" s="9">
        <f t="shared" si="0"/>
        <v>0.766990291262136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21</v>
      </c>
      <c r="L32" s="10">
        <v>27</v>
      </c>
      <c r="M32" s="10">
        <v>53.56619987</v>
      </c>
      <c r="N32" s="10">
        <v>108</v>
      </c>
      <c r="O32" s="10">
        <v>71</v>
      </c>
      <c r="P32" s="10">
        <v>186</v>
      </c>
      <c r="Q32" s="10">
        <v>2.911</v>
      </c>
      <c r="R32" s="10">
        <v>16</v>
      </c>
      <c r="S32" s="11">
        <v>40822</v>
      </c>
    </row>
    <row r="33" spans="1:19">
      <c r="A33" s="5" t="s">
        <v>54</v>
      </c>
      <c r="B33" s="6" t="s">
        <v>59</v>
      </c>
      <c r="C33" s="7">
        <v>13462</v>
      </c>
      <c r="D33" s="8">
        <v>28340</v>
      </c>
      <c r="E33" s="8">
        <v>17325</v>
      </c>
      <c r="F33" s="9">
        <f t="shared" si="0"/>
        <v>0.611326746647848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21</v>
      </c>
      <c r="L33" s="10">
        <v>23</v>
      </c>
      <c r="M33" s="10">
        <v>101.3292807</v>
      </c>
      <c r="N33" s="10">
        <v>113</v>
      </c>
      <c r="O33" s="10">
        <v>74.4</v>
      </c>
      <c r="P33" s="10">
        <v>207.7</v>
      </c>
      <c r="Q33" s="10">
        <v>3.564</v>
      </c>
      <c r="R33" s="10">
        <v>17</v>
      </c>
      <c r="S33" s="11">
        <v>41037</v>
      </c>
    </row>
    <row r="34" spans="1:19">
      <c r="A34" s="5" t="s">
        <v>54</v>
      </c>
      <c r="B34" s="6" t="s">
        <v>60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21</v>
      </c>
      <c r="L34" s="10">
        <v>23</v>
      </c>
      <c r="M34" s="10">
        <v>101.6552441</v>
      </c>
      <c r="N34" s="10">
        <v>113</v>
      </c>
      <c r="O34" s="10">
        <v>74.4</v>
      </c>
      <c r="P34" s="10">
        <v>197.8</v>
      </c>
      <c r="Q34" s="10">
        <v>3.567</v>
      </c>
      <c r="R34" s="10">
        <v>17</v>
      </c>
      <c r="S34" s="11">
        <v>40949</v>
      </c>
    </row>
    <row r="35" spans="1:19">
      <c r="A35" s="5" t="s">
        <v>61</v>
      </c>
      <c r="B35" s="6" t="s">
        <v>62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21</v>
      </c>
      <c r="L35" s="10">
        <v>29</v>
      </c>
      <c r="M35" s="10">
        <v>52.08489875</v>
      </c>
      <c r="N35" s="10">
        <v>105</v>
      </c>
      <c r="O35" s="10">
        <v>74.4</v>
      </c>
      <c r="P35" s="10">
        <v>174.4</v>
      </c>
      <c r="Q35" s="10">
        <v>2.567</v>
      </c>
      <c r="R35" s="10">
        <v>12.5</v>
      </c>
      <c r="S35" s="11">
        <v>40889</v>
      </c>
    </row>
    <row r="36" spans="1:19">
      <c r="A36" s="5" t="s">
        <v>61</v>
      </c>
      <c r="B36" s="6" t="s">
        <v>63</v>
      </c>
      <c r="C36" s="7">
        <v>4734</v>
      </c>
      <c r="D36" s="8">
        <v>19045</v>
      </c>
      <c r="E36" s="8">
        <v>12545</v>
      </c>
      <c r="F36" s="9">
        <f t="shared" si="0"/>
        <v>0.658703071672355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21</v>
      </c>
      <c r="L36" s="10">
        <v>24</v>
      </c>
      <c r="M36" s="10">
        <v>65.65050834</v>
      </c>
      <c r="N36" s="10">
        <v>103.7</v>
      </c>
      <c r="O36" s="10">
        <v>69.1</v>
      </c>
      <c r="P36" s="10">
        <v>190.2</v>
      </c>
      <c r="Q36" s="10">
        <v>2.879</v>
      </c>
      <c r="R36" s="10">
        <v>15.9</v>
      </c>
      <c r="S36" s="11">
        <v>41091</v>
      </c>
    </row>
    <row r="37" spans="1:19">
      <c r="A37" s="5" t="s">
        <v>61</v>
      </c>
      <c r="B37" s="6" t="s">
        <v>64</v>
      </c>
      <c r="C37" s="7">
        <v>71186</v>
      </c>
      <c r="D37" s="8">
        <v>20230</v>
      </c>
      <c r="E37" s="8">
        <v>10185</v>
      </c>
      <c r="F37" s="9">
        <f t="shared" si="0"/>
        <v>0.503460207612457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21</v>
      </c>
      <c r="L37" s="10">
        <v>24</v>
      </c>
      <c r="M37" s="10">
        <v>67.87610784</v>
      </c>
      <c r="N37" s="10">
        <v>108</v>
      </c>
      <c r="O37" s="10">
        <v>71</v>
      </c>
      <c r="P37" s="10">
        <v>186</v>
      </c>
      <c r="Q37" s="10">
        <v>3.058</v>
      </c>
      <c r="R37" s="10">
        <v>16</v>
      </c>
      <c r="S37" s="11">
        <v>40847</v>
      </c>
    </row>
    <row r="38" spans="1:19">
      <c r="A38" s="5" t="s">
        <v>61</v>
      </c>
      <c r="B38" s="6" t="s">
        <v>65</v>
      </c>
      <c r="C38" s="7">
        <v>88028</v>
      </c>
      <c r="D38" s="8">
        <v>22505</v>
      </c>
      <c r="E38" s="8">
        <v>12275</v>
      </c>
      <c r="F38" s="9">
        <f t="shared" si="0"/>
        <v>0.545434347922684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21</v>
      </c>
      <c r="L38" s="10">
        <v>22</v>
      </c>
      <c r="M38" s="10">
        <v>80.83147017</v>
      </c>
      <c r="N38" s="10">
        <v>113</v>
      </c>
      <c r="O38" s="10">
        <v>74.7</v>
      </c>
      <c r="P38" s="10">
        <v>203.7</v>
      </c>
      <c r="Q38" s="10">
        <v>3.489</v>
      </c>
      <c r="R38" s="10">
        <v>17</v>
      </c>
      <c r="S38" s="11">
        <v>41062</v>
      </c>
    </row>
    <row r="39" spans="1:19">
      <c r="A39" s="5" t="s">
        <v>61</v>
      </c>
      <c r="B39" s="6" t="s">
        <v>66</v>
      </c>
      <c r="C39" s="7">
        <v>916</v>
      </c>
      <c r="D39" s="8">
        <v>69725</v>
      </c>
      <c r="E39" s="8">
        <v>58470</v>
      </c>
      <c r="F39" s="9">
        <f t="shared" si="0"/>
        <v>0.838580136249552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21</v>
      </c>
      <c r="L39" s="10">
        <v>16</v>
      </c>
      <c r="M39" s="10">
        <v>188.144323</v>
      </c>
      <c r="N39" s="10">
        <v>96.2</v>
      </c>
      <c r="O39" s="10">
        <v>75.7</v>
      </c>
      <c r="P39" s="10">
        <v>176.7</v>
      </c>
      <c r="Q39" s="10">
        <v>3.375</v>
      </c>
      <c r="R39" s="10">
        <v>19</v>
      </c>
      <c r="S39" s="11">
        <v>40762</v>
      </c>
    </row>
    <row r="40" spans="1:19">
      <c r="A40" s="5" t="s">
        <v>61</v>
      </c>
      <c r="B40" s="6" t="s">
        <v>67</v>
      </c>
      <c r="C40" s="7">
        <v>227061</v>
      </c>
      <c r="D40" s="8">
        <v>19460</v>
      </c>
      <c r="E40" s="8">
        <v>15060</v>
      </c>
      <c r="F40" s="9">
        <f t="shared" si="0"/>
        <v>0.773895169578623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43</v>
      </c>
      <c r="L40" s="10">
        <v>17</v>
      </c>
      <c r="M40" s="10">
        <v>90.21170005</v>
      </c>
      <c r="N40" s="10">
        <v>138.7</v>
      </c>
      <c r="O40" s="10">
        <v>79.3</v>
      </c>
      <c r="P40" s="10">
        <v>224.2</v>
      </c>
      <c r="Q40" s="10">
        <v>4.47</v>
      </c>
      <c r="R40" s="10">
        <v>26</v>
      </c>
      <c r="S40" s="11">
        <v>40974</v>
      </c>
    </row>
    <row r="41" spans="1:19">
      <c r="A41" s="5" t="s">
        <v>61</v>
      </c>
      <c r="B41" s="6" t="s">
        <v>68</v>
      </c>
      <c r="C41" s="7">
        <v>16767</v>
      </c>
      <c r="D41" s="8">
        <v>21315</v>
      </c>
      <c r="E41" s="8">
        <v>15510</v>
      </c>
      <c r="F41" s="9">
        <f t="shared" si="0"/>
        <v>0.727656579873329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43</v>
      </c>
      <c r="L41" s="10">
        <v>15</v>
      </c>
      <c r="M41" s="10">
        <v>71.13529161</v>
      </c>
      <c r="N41" s="10">
        <v>109.6</v>
      </c>
      <c r="O41" s="10">
        <v>78.8</v>
      </c>
      <c r="P41" s="10">
        <v>192.6</v>
      </c>
      <c r="Q41" s="10">
        <v>4.245</v>
      </c>
      <c r="R41" s="10">
        <v>32</v>
      </c>
      <c r="S41" s="11">
        <v>40914</v>
      </c>
    </row>
    <row r="42" spans="1:19">
      <c r="A42" s="5" t="s">
        <v>61</v>
      </c>
      <c r="B42" s="6" t="s">
        <v>69</v>
      </c>
      <c r="C42" s="7">
        <v>31038</v>
      </c>
      <c r="D42" s="8">
        <v>18575</v>
      </c>
      <c r="E42" s="8">
        <v>13425</v>
      </c>
      <c r="F42" s="9">
        <f t="shared" si="0"/>
        <v>0.722745625841184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43</v>
      </c>
      <c r="L42" s="10">
        <v>16</v>
      </c>
      <c r="M42" s="10">
        <v>70.07832154</v>
      </c>
      <c r="N42" s="10">
        <v>127.2</v>
      </c>
      <c r="O42" s="10">
        <v>78.8</v>
      </c>
      <c r="P42" s="10">
        <v>208.5</v>
      </c>
      <c r="Q42" s="10">
        <v>4.298</v>
      </c>
      <c r="R42" s="10">
        <v>32</v>
      </c>
      <c r="S42" s="11">
        <v>41116</v>
      </c>
    </row>
    <row r="43" spans="1:19">
      <c r="A43" s="5" t="s">
        <v>61</v>
      </c>
      <c r="B43" s="6" t="s">
        <v>70</v>
      </c>
      <c r="C43" s="7">
        <v>111313</v>
      </c>
      <c r="D43" s="8">
        <v>16980</v>
      </c>
      <c r="E43" s="8">
        <v>11260</v>
      </c>
      <c r="F43" s="9">
        <f t="shared" si="0"/>
        <v>0.663133097762073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43</v>
      </c>
      <c r="L43" s="10">
        <v>19</v>
      </c>
      <c r="M43" s="10">
        <v>49.64500177</v>
      </c>
      <c r="N43" s="10">
        <v>131</v>
      </c>
      <c r="O43" s="10">
        <v>71.5</v>
      </c>
      <c r="P43" s="10">
        <v>215</v>
      </c>
      <c r="Q43" s="10">
        <v>3.557</v>
      </c>
      <c r="R43" s="10">
        <v>22</v>
      </c>
      <c r="S43" s="11">
        <v>40872</v>
      </c>
    </row>
    <row r="44" spans="1:19">
      <c r="A44" s="5" t="s">
        <v>61</v>
      </c>
      <c r="B44" s="6" t="s">
        <v>71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43</v>
      </c>
      <c r="L44" s="10">
        <v>17</v>
      </c>
      <c r="M44" s="10">
        <v>92.85412522</v>
      </c>
      <c r="N44" s="10">
        <v>115.7</v>
      </c>
      <c r="O44" s="10">
        <v>71.7</v>
      </c>
      <c r="P44" s="10">
        <v>193.5</v>
      </c>
      <c r="Q44" s="10">
        <v>4.394</v>
      </c>
      <c r="R44" s="10">
        <v>25</v>
      </c>
      <c r="S44" s="11">
        <v>41087</v>
      </c>
    </row>
    <row r="45" spans="1:19">
      <c r="A45" s="5" t="s">
        <v>61</v>
      </c>
      <c r="B45" s="6" t="s">
        <v>72</v>
      </c>
      <c r="C45" s="7">
        <v>181749</v>
      </c>
      <c r="D45" s="8">
        <v>19565</v>
      </c>
      <c r="E45" s="8">
        <v>12025</v>
      </c>
      <c r="F45" s="9">
        <f t="shared" si="0"/>
        <v>0.614617940199336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43</v>
      </c>
      <c r="L45" s="10">
        <v>24</v>
      </c>
      <c r="M45" s="10">
        <v>61.22700031</v>
      </c>
      <c r="N45" s="10">
        <v>113.3</v>
      </c>
      <c r="O45" s="10">
        <v>76.8</v>
      </c>
      <c r="P45" s="10">
        <v>186.3</v>
      </c>
      <c r="Q45" s="10">
        <v>3.533</v>
      </c>
      <c r="R45" s="10">
        <v>20</v>
      </c>
      <c r="S45" s="11">
        <v>40787</v>
      </c>
    </row>
    <row r="46" spans="1:19">
      <c r="A46" s="5" t="s">
        <v>73</v>
      </c>
      <c r="B46" s="6" t="s">
        <v>74</v>
      </c>
      <c r="C46" s="7">
        <v>70227</v>
      </c>
      <c r="D46" s="8">
        <v>12070</v>
      </c>
      <c r="E46" s="8">
        <v>7425</v>
      </c>
      <c r="F46" s="9">
        <f t="shared" si="0"/>
        <v>0.615161557580779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21</v>
      </c>
      <c r="L46" s="10">
        <v>30</v>
      </c>
      <c r="M46" s="10">
        <v>44.08370946</v>
      </c>
      <c r="N46" s="10">
        <v>98.4</v>
      </c>
      <c r="O46" s="10">
        <v>67</v>
      </c>
      <c r="P46" s="10">
        <v>174.7</v>
      </c>
      <c r="Q46" s="10">
        <v>2.468</v>
      </c>
      <c r="R46" s="10">
        <v>12.7</v>
      </c>
      <c r="S46" s="11">
        <v>40999</v>
      </c>
    </row>
    <row r="47" spans="1:19">
      <c r="A47" s="5" t="s">
        <v>73</v>
      </c>
      <c r="B47" s="6" t="s">
        <v>75</v>
      </c>
      <c r="C47" s="7">
        <v>113369</v>
      </c>
      <c r="D47" s="8">
        <v>21560</v>
      </c>
      <c r="E47" s="8">
        <v>12760</v>
      </c>
      <c r="F47" s="9">
        <f t="shared" si="0"/>
        <v>0.591836734693878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21</v>
      </c>
      <c r="L47" s="10">
        <v>24</v>
      </c>
      <c r="M47" s="10">
        <v>76.50918456</v>
      </c>
      <c r="N47" s="10">
        <v>101.3</v>
      </c>
      <c r="O47" s="10">
        <v>73.1</v>
      </c>
      <c r="P47" s="10">
        <v>183.2</v>
      </c>
      <c r="Q47" s="10">
        <v>3.203</v>
      </c>
      <c r="R47" s="10">
        <v>15.7</v>
      </c>
      <c r="S47" s="11">
        <v>40939</v>
      </c>
    </row>
    <row r="48" spans="1:19">
      <c r="A48" s="5" t="s">
        <v>73</v>
      </c>
      <c r="B48" s="6" t="s">
        <v>76</v>
      </c>
      <c r="C48" s="7">
        <v>35068</v>
      </c>
      <c r="D48" s="8">
        <v>17035</v>
      </c>
      <c r="E48" s="8">
        <v>8835</v>
      </c>
      <c r="F48" s="9">
        <f t="shared" si="0"/>
        <v>0.518638098033461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21</v>
      </c>
      <c r="L48" s="10">
        <v>25</v>
      </c>
      <c r="M48" s="10">
        <v>67.35101072</v>
      </c>
      <c r="N48" s="10">
        <v>106.5</v>
      </c>
      <c r="O48" s="10">
        <v>69.1</v>
      </c>
      <c r="P48" s="10">
        <v>184.6</v>
      </c>
      <c r="Q48" s="10">
        <v>2.769</v>
      </c>
      <c r="R48" s="10">
        <v>15</v>
      </c>
      <c r="S48" s="11">
        <v>41141</v>
      </c>
    </row>
    <row r="49" spans="1:19">
      <c r="A49" s="5" t="s">
        <v>73</v>
      </c>
      <c r="B49" s="6" t="s">
        <v>77</v>
      </c>
      <c r="C49" s="7">
        <v>245815</v>
      </c>
      <c r="D49" s="8">
        <v>17885</v>
      </c>
      <c r="E49" s="8">
        <v>10055</v>
      </c>
      <c r="F49" s="9">
        <f t="shared" si="0"/>
        <v>0.562202963377132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21</v>
      </c>
      <c r="L49" s="10">
        <v>24</v>
      </c>
      <c r="M49" s="10">
        <v>62.5037395</v>
      </c>
      <c r="N49" s="10">
        <v>108.5</v>
      </c>
      <c r="O49" s="10">
        <v>73</v>
      </c>
      <c r="P49" s="10">
        <v>197.6</v>
      </c>
      <c r="Q49" s="10">
        <v>3.368</v>
      </c>
      <c r="R49" s="10">
        <v>16</v>
      </c>
      <c r="S49" s="11">
        <v>40897</v>
      </c>
    </row>
    <row r="50" spans="1:19">
      <c r="A50" s="5" t="s">
        <v>73</v>
      </c>
      <c r="B50" s="6" t="s">
        <v>78</v>
      </c>
      <c r="C50" s="7">
        <v>175670</v>
      </c>
      <c r="D50" s="8">
        <v>12315</v>
      </c>
      <c r="E50" s="8">
        <v>8670</v>
      </c>
      <c r="F50" s="9">
        <f t="shared" si="0"/>
        <v>0.704019488428745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21</v>
      </c>
      <c r="L50" s="10">
        <v>30</v>
      </c>
      <c r="M50" s="10">
        <v>43.11713201</v>
      </c>
      <c r="N50" s="10">
        <v>103</v>
      </c>
      <c r="O50" s="10">
        <v>66.9</v>
      </c>
      <c r="P50" s="10">
        <v>174.8</v>
      </c>
      <c r="Q50" s="10">
        <v>2.564</v>
      </c>
      <c r="R50" s="10">
        <v>13.2</v>
      </c>
      <c r="S50" s="11">
        <v>41112</v>
      </c>
    </row>
    <row r="51" spans="1:19">
      <c r="A51" s="5" t="s">
        <v>73</v>
      </c>
      <c r="B51" s="6" t="s">
        <v>79</v>
      </c>
      <c r="C51" s="7">
        <v>63403</v>
      </c>
      <c r="D51" s="8">
        <v>22195</v>
      </c>
      <c r="E51" s="8">
        <v>14210</v>
      </c>
      <c r="F51" s="9">
        <f t="shared" si="0"/>
        <v>0.640234287001577</v>
      </c>
      <c r="G51" s="9" t="str">
        <f t="shared" si="1"/>
        <v>POOR</v>
      </c>
      <c r="H51" s="10">
        <v>4.6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21</v>
      </c>
      <c r="L51" s="10">
        <v>21</v>
      </c>
      <c r="M51" s="10">
        <v>80.49953671</v>
      </c>
      <c r="N51" s="10">
        <v>114.7</v>
      </c>
      <c r="O51" s="10">
        <v>78.2</v>
      </c>
      <c r="P51" s="10">
        <v>212</v>
      </c>
      <c r="Q51" s="10">
        <v>3.908</v>
      </c>
      <c r="R51" s="10">
        <v>19</v>
      </c>
      <c r="S51" s="11">
        <v>40812</v>
      </c>
    </row>
    <row r="52" spans="1:19">
      <c r="A52" s="5" t="s">
        <v>73</v>
      </c>
      <c r="B52" s="6" t="s">
        <v>80</v>
      </c>
      <c r="C52" s="7">
        <v>276747</v>
      </c>
      <c r="D52" s="8">
        <v>31930</v>
      </c>
      <c r="E52" s="8">
        <v>16640</v>
      </c>
      <c r="F52" s="9">
        <f t="shared" si="0"/>
        <v>0.521139993736298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43</v>
      </c>
      <c r="L52" s="10">
        <v>19</v>
      </c>
      <c r="M52" s="10">
        <v>87.63549578</v>
      </c>
      <c r="N52" s="10">
        <v>111.6</v>
      </c>
      <c r="O52" s="10">
        <v>70.2</v>
      </c>
      <c r="P52" s="10">
        <v>190.7</v>
      </c>
      <c r="Q52" s="10">
        <v>3.876</v>
      </c>
      <c r="R52" s="10">
        <v>21</v>
      </c>
      <c r="S52" s="11">
        <v>41024</v>
      </c>
    </row>
    <row r="53" spans="1:19">
      <c r="A53" s="5" t="s">
        <v>73</v>
      </c>
      <c r="B53" s="6" t="s">
        <v>81</v>
      </c>
      <c r="C53" s="7">
        <v>155787</v>
      </c>
      <c r="D53" s="8">
        <v>21410</v>
      </c>
      <c r="E53" s="8">
        <v>13175</v>
      </c>
      <c r="F53" s="9">
        <f t="shared" si="0"/>
        <v>0.615366651097618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43</v>
      </c>
      <c r="L53" s="10">
        <v>21</v>
      </c>
      <c r="M53" s="10">
        <v>62.09504839</v>
      </c>
      <c r="N53" s="10">
        <v>120.7</v>
      </c>
      <c r="O53" s="10">
        <v>76.6</v>
      </c>
      <c r="P53" s="10">
        <v>200.9</v>
      </c>
      <c r="Q53" s="10">
        <v>3.761</v>
      </c>
      <c r="R53" s="10">
        <v>26</v>
      </c>
      <c r="S53" s="11">
        <v>40964</v>
      </c>
    </row>
    <row r="54" spans="1:19">
      <c r="A54" s="5" t="s">
        <v>73</v>
      </c>
      <c r="B54" s="6" t="s">
        <v>82</v>
      </c>
      <c r="C54" s="7">
        <v>125338</v>
      </c>
      <c r="D54" s="8">
        <v>36135</v>
      </c>
      <c r="E54" s="8">
        <v>23575</v>
      </c>
      <c r="F54" s="9">
        <f t="shared" si="0"/>
        <v>0.652414556524146</v>
      </c>
      <c r="G54" s="9" t="str">
        <f t="shared" si="1"/>
        <v>POOR</v>
      </c>
      <c r="H54" s="10">
        <v>4.6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43</v>
      </c>
      <c r="L54" s="10">
        <v>16</v>
      </c>
      <c r="M54" s="10">
        <v>100.0248023</v>
      </c>
      <c r="N54" s="10">
        <v>119</v>
      </c>
      <c r="O54" s="10">
        <v>78.7</v>
      </c>
      <c r="P54" s="10">
        <v>204.6</v>
      </c>
      <c r="Q54" s="10">
        <v>4.808</v>
      </c>
      <c r="R54" s="10">
        <v>26</v>
      </c>
      <c r="S54" s="11">
        <v>41166</v>
      </c>
    </row>
    <row r="55" spans="1:19">
      <c r="A55" s="5" t="s">
        <v>73</v>
      </c>
      <c r="B55" s="6" t="s">
        <v>83</v>
      </c>
      <c r="C55" s="7">
        <v>220650</v>
      </c>
      <c r="D55" s="8">
        <v>12050</v>
      </c>
      <c r="E55" s="8">
        <v>7850</v>
      </c>
      <c r="F55" s="9">
        <f t="shared" si="0"/>
        <v>0.651452282157676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43</v>
      </c>
      <c r="L55" s="10">
        <v>23</v>
      </c>
      <c r="M55" s="10">
        <v>47.38953131</v>
      </c>
      <c r="N55" s="10">
        <v>117.5</v>
      </c>
      <c r="O55" s="10">
        <v>69.4</v>
      </c>
      <c r="P55" s="10">
        <v>200.7</v>
      </c>
      <c r="Q55" s="10">
        <v>3.086</v>
      </c>
      <c r="R55" s="10">
        <v>20</v>
      </c>
      <c r="S55" s="11">
        <v>40922</v>
      </c>
    </row>
    <row r="56" spans="1:19">
      <c r="A56" s="5" t="s">
        <v>73</v>
      </c>
      <c r="B56" s="6" t="s">
        <v>84</v>
      </c>
      <c r="C56" s="7">
        <v>540561</v>
      </c>
      <c r="D56" s="8">
        <v>26935</v>
      </c>
      <c r="E56" s="8">
        <v>15075</v>
      </c>
      <c r="F56" s="9">
        <f t="shared" si="0"/>
        <v>0.559680712827177</v>
      </c>
      <c r="G56" s="9" t="str">
        <f t="shared" si="1"/>
        <v>POOR</v>
      </c>
      <c r="H56" s="10">
        <v>4.6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43</v>
      </c>
      <c r="L56" s="10">
        <v>18</v>
      </c>
      <c r="M56" s="10">
        <v>89.40193473</v>
      </c>
      <c r="N56" s="10">
        <v>138.5</v>
      </c>
      <c r="O56" s="10">
        <v>79.1</v>
      </c>
      <c r="P56" s="10">
        <v>224.5</v>
      </c>
      <c r="Q56" s="10">
        <v>4.241</v>
      </c>
      <c r="R56" s="10">
        <v>25.1</v>
      </c>
      <c r="S56" s="11">
        <v>41137</v>
      </c>
    </row>
    <row r="57" spans="1:19">
      <c r="A57" s="5" t="s">
        <v>85</v>
      </c>
      <c r="B57" s="6" t="s">
        <v>86</v>
      </c>
      <c r="C57" s="7">
        <v>199685</v>
      </c>
      <c r="D57" s="8">
        <v>12885</v>
      </c>
      <c r="E57" s="8">
        <v>9850</v>
      </c>
      <c r="F57" s="9">
        <f t="shared" si="0"/>
        <v>0.764454792394257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21</v>
      </c>
      <c r="L57" s="10">
        <v>32</v>
      </c>
      <c r="M57" s="10">
        <v>42.87909734</v>
      </c>
      <c r="N57" s="10">
        <v>103.2</v>
      </c>
      <c r="O57" s="10">
        <v>67.1</v>
      </c>
      <c r="P57" s="10">
        <v>175.1</v>
      </c>
      <c r="Q57" s="10">
        <v>2.339</v>
      </c>
      <c r="R57" s="10">
        <v>11.9</v>
      </c>
      <c r="S57" s="11">
        <v>40837</v>
      </c>
    </row>
    <row r="58" spans="1:19">
      <c r="A58" s="5" t="s">
        <v>85</v>
      </c>
      <c r="B58" s="6" t="s">
        <v>87</v>
      </c>
      <c r="C58" s="7">
        <v>230902</v>
      </c>
      <c r="D58" s="8">
        <v>15350</v>
      </c>
      <c r="E58" s="8">
        <v>13210</v>
      </c>
      <c r="F58" s="9">
        <f t="shared" si="0"/>
        <v>0.860586319218241</v>
      </c>
      <c r="G58" s="9" t="str">
        <f t="shared" si="1"/>
        <v>GOOD</v>
      </c>
      <c r="H58" s="10">
        <v>2.3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21</v>
      </c>
      <c r="L58" s="10">
        <v>27</v>
      </c>
      <c r="M58" s="10">
        <v>54.26954829</v>
      </c>
      <c r="N58" s="10">
        <v>106.9</v>
      </c>
      <c r="O58" s="10">
        <v>70.3</v>
      </c>
      <c r="P58" s="10">
        <v>188.8</v>
      </c>
      <c r="Q58" s="10">
        <v>2.932</v>
      </c>
      <c r="R58" s="10">
        <v>17.1</v>
      </c>
      <c r="S58" s="11">
        <v>41049</v>
      </c>
    </row>
    <row r="59" spans="1:19">
      <c r="A59" s="5" t="s">
        <v>85</v>
      </c>
      <c r="B59" s="6" t="s">
        <v>88</v>
      </c>
      <c r="C59" s="7">
        <v>73203</v>
      </c>
      <c r="D59" s="8">
        <v>20550</v>
      </c>
      <c r="E59" s="8">
        <v>17710</v>
      </c>
      <c r="F59" s="9">
        <f t="shared" si="0"/>
        <v>0.861800486618005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43</v>
      </c>
      <c r="L59" s="10">
        <v>24</v>
      </c>
      <c r="M59" s="10">
        <v>60.08796662</v>
      </c>
      <c r="N59" s="10">
        <v>103.2</v>
      </c>
      <c r="O59" s="10">
        <v>68.9</v>
      </c>
      <c r="P59" s="10">
        <v>177.6</v>
      </c>
      <c r="Q59" s="10">
        <v>3.219</v>
      </c>
      <c r="R59" s="10">
        <v>15.3</v>
      </c>
      <c r="S59" s="11">
        <v>40989</v>
      </c>
    </row>
    <row r="60" spans="1:19">
      <c r="A60" s="5" t="s">
        <v>85</v>
      </c>
      <c r="B60" s="6" t="s">
        <v>89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43</v>
      </c>
      <c r="L60" s="10">
        <v>19</v>
      </c>
      <c r="M60" s="10">
        <v>83.6025008</v>
      </c>
      <c r="N60" s="10">
        <v>106.4</v>
      </c>
      <c r="O60" s="10">
        <v>70.4</v>
      </c>
      <c r="P60" s="10">
        <v>178.2</v>
      </c>
      <c r="Q60" s="10">
        <v>3.857</v>
      </c>
      <c r="R60" s="10">
        <v>21.1</v>
      </c>
      <c r="S60" s="11">
        <v>41191</v>
      </c>
    </row>
    <row r="61" spans="1:19">
      <c r="A61" s="5" t="s">
        <v>85</v>
      </c>
      <c r="B61" s="6" t="s">
        <v>90</v>
      </c>
      <c r="C61" s="7">
        <v>76029</v>
      </c>
      <c r="D61" s="8">
        <v>26000</v>
      </c>
      <c r="E61" s="8">
        <v>19490</v>
      </c>
      <c r="F61" s="9">
        <f t="shared" si="0"/>
        <v>0.749615384615385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43</v>
      </c>
      <c r="L61" s="10">
        <v>23</v>
      </c>
      <c r="M61" s="10">
        <v>85.21769134</v>
      </c>
      <c r="N61" s="10">
        <v>118.1</v>
      </c>
      <c r="O61" s="10">
        <v>75.6</v>
      </c>
      <c r="P61" s="10">
        <v>201.2</v>
      </c>
      <c r="Q61" s="10">
        <v>4.288</v>
      </c>
      <c r="R61" s="10">
        <v>20</v>
      </c>
      <c r="S61" s="11">
        <v>40947</v>
      </c>
    </row>
    <row r="62" spans="1:19">
      <c r="A62" s="5" t="s">
        <v>91</v>
      </c>
      <c r="B62" s="6" t="s">
        <v>92</v>
      </c>
      <c r="C62" s="7">
        <v>41184</v>
      </c>
      <c r="D62" s="8">
        <v>9699</v>
      </c>
      <c r="E62" s="8">
        <v>5860</v>
      </c>
      <c r="F62" s="9">
        <f t="shared" si="0"/>
        <v>0.604185998556552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21</v>
      </c>
      <c r="L62" s="10">
        <v>31</v>
      </c>
      <c r="M62" s="10">
        <v>36.67228358</v>
      </c>
      <c r="N62" s="10">
        <v>96.1</v>
      </c>
      <c r="O62" s="10">
        <v>65.7</v>
      </c>
      <c r="P62" s="10">
        <v>166.7</v>
      </c>
      <c r="Q62" s="10">
        <v>2.24</v>
      </c>
      <c r="R62" s="10">
        <v>11.9</v>
      </c>
      <c r="S62" s="11">
        <v>41162</v>
      </c>
    </row>
    <row r="63" spans="1:19">
      <c r="A63" s="5" t="s">
        <v>91</v>
      </c>
      <c r="B63" s="6" t="s">
        <v>93</v>
      </c>
      <c r="C63" s="7">
        <v>66692</v>
      </c>
      <c r="D63" s="8">
        <v>11799</v>
      </c>
      <c r="E63" s="8">
        <v>7825</v>
      </c>
      <c r="F63" s="9">
        <f t="shared" si="0"/>
        <v>0.663191795914908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21</v>
      </c>
      <c r="L63" s="10">
        <v>27</v>
      </c>
      <c r="M63" s="10">
        <v>54.59004516</v>
      </c>
      <c r="N63" s="10">
        <v>100.4</v>
      </c>
      <c r="O63" s="10">
        <v>66.9</v>
      </c>
      <c r="P63" s="10">
        <v>174</v>
      </c>
      <c r="Q63" s="10">
        <v>2.626</v>
      </c>
      <c r="R63" s="10">
        <v>14.5</v>
      </c>
      <c r="S63" s="11">
        <v>40862</v>
      </c>
    </row>
    <row r="64" spans="1:19">
      <c r="A64" s="5" t="s">
        <v>91</v>
      </c>
      <c r="B64" s="6" t="s">
        <v>94</v>
      </c>
      <c r="C64" s="7">
        <v>29450</v>
      </c>
      <c r="D64" s="8">
        <v>14999</v>
      </c>
      <c r="E64" s="8">
        <v>8910</v>
      </c>
      <c r="F64" s="9">
        <f t="shared" si="0"/>
        <v>0.594039602640176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21</v>
      </c>
      <c r="L64" s="10">
        <v>25</v>
      </c>
      <c r="M64" s="10">
        <v>58.758249</v>
      </c>
      <c r="N64" s="10">
        <v>106.3</v>
      </c>
      <c r="O64" s="10">
        <v>71.6</v>
      </c>
      <c r="P64" s="10">
        <v>185.4</v>
      </c>
      <c r="Q64" s="10">
        <v>3.072</v>
      </c>
      <c r="R64" s="10">
        <v>17.2</v>
      </c>
      <c r="S64" s="11">
        <v>41074</v>
      </c>
    </row>
    <row r="65" spans="1:19">
      <c r="A65" s="5" t="s">
        <v>95</v>
      </c>
      <c r="B65" s="6" t="s">
        <v>96</v>
      </c>
      <c r="C65" s="7">
        <v>23713</v>
      </c>
      <c r="D65" s="8">
        <v>29465</v>
      </c>
      <c r="E65" s="8">
        <v>19690</v>
      </c>
      <c r="F65" s="9">
        <f t="shared" si="0"/>
        <v>0.668250466655354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21</v>
      </c>
      <c r="L65" s="10">
        <v>25</v>
      </c>
      <c r="M65" s="10">
        <v>92.43688923</v>
      </c>
      <c r="N65" s="10">
        <v>108.3</v>
      </c>
      <c r="O65" s="10">
        <v>70.2</v>
      </c>
      <c r="P65" s="10">
        <v>193.7</v>
      </c>
      <c r="Q65" s="10">
        <v>3.342</v>
      </c>
      <c r="R65" s="10">
        <v>18.5</v>
      </c>
      <c r="S65" s="11">
        <v>41014</v>
      </c>
    </row>
    <row r="66" spans="1:19">
      <c r="A66" s="5" t="s">
        <v>97</v>
      </c>
      <c r="B66" s="6" t="s">
        <v>98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21</v>
      </c>
      <c r="L66" s="10">
        <v>21</v>
      </c>
      <c r="M66" s="10">
        <v>102.1789848</v>
      </c>
      <c r="N66" s="10">
        <v>114.5</v>
      </c>
      <c r="O66" s="10">
        <v>71.6</v>
      </c>
      <c r="P66" s="10">
        <v>191.3</v>
      </c>
      <c r="Q66" s="10">
        <v>3.65</v>
      </c>
      <c r="R66" s="10">
        <v>18.4</v>
      </c>
      <c r="S66" s="11">
        <v>41216</v>
      </c>
    </row>
    <row r="67" spans="1:19">
      <c r="A67" s="5" t="s">
        <v>99</v>
      </c>
      <c r="B67" s="6" t="s">
        <v>100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43</v>
      </c>
      <c r="L67" s="10">
        <v>17</v>
      </c>
      <c r="M67" s="10">
        <v>48.67289791</v>
      </c>
      <c r="N67" s="10">
        <v>93.4</v>
      </c>
      <c r="O67" s="10">
        <v>66.7</v>
      </c>
      <c r="P67" s="10">
        <v>152</v>
      </c>
      <c r="Q67" s="10">
        <v>3.045</v>
      </c>
      <c r="R67" s="10">
        <v>19</v>
      </c>
      <c r="S67" s="11">
        <v>40972</v>
      </c>
    </row>
    <row r="68" spans="1:19">
      <c r="A68" s="5" t="s">
        <v>99</v>
      </c>
      <c r="B68" s="6" t="s">
        <v>101</v>
      </c>
      <c r="C68" s="7">
        <v>80556</v>
      </c>
      <c r="D68" s="8">
        <v>21620</v>
      </c>
      <c r="E68" s="8">
        <v>13775</v>
      </c>
      <c r="F68" s="9">
        <f t="shared" si="2"/>
        <v>0.637141535615171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43</v>
      </c>
      <c r="L68" s="10">
        <v>20</v>
      </c>
      <c r="M68" s="10">
        <v>76.58443962</v>
      </c>
      <c r="N68" s="10">
        <v>101.4</v>
      </c>
      <c r="O68" s="10">
        <v>69.4</v>
      </c>
      <c r="P68" s="10">
        <v>167.5</v>
      </c>
      <c r="Q68" s="10">
        <v>3.194</v>
      </c>
      <c r="R68" s="10">
        <v>20</v>
      </c>
      <c r="S68" s="11">
        <v>41187</v>
      </c>
    </row>
    <row r="69" spans="1:19">
      <c r="A69" s="5" t="s">
        <v>99</v>
      </c>
      <c r="B69" s="6" t="s">
        <v>102</v>
      </c>
      <c r="C69" s="7">
        <v>157040</v>
      </c>
      <c r="D69" s="8">
        <v>26895</v>
      </c>
      <c r="E69" s="8">
        <v>18810</v>
      </c>
      <c r="F69" s="9">
        <f t="shared" si="2"/>
        <v>0.699386503067485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43</v>
      </c>
      <c r="L69" s="10">
        <v>19</v>
      </c>
      <c r="M69" s="10">
        <v>80.38777912</v>
      </c>
      <c r="N69" s="10">
        <v>105.9</v>
      </c>
      <c r="O69" s="10">
        <v>72.3</v>
      </c>
      <c r="P69" s="10">
        <v>181.5</v>
      </c>
      <c r="Q69" s="10">
        <v>3.88</v>
      </c>
      <c r="R69" s="10">
        <v>20.5</v>
      </c>
      <c r="S69" s="11">
        <v>40887</v>
      </c>
    </row>
    <row r="70" spans="1:19">
      <c r="A70" s="5" t="s">
        <v>103</v>
      </c>
      <c r="B70" s="6" t="s">
        <v>104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21</v>
      </c>
      <c r="L70" s="10">
        <v>23</v>
      </c>
      <c r="M70" s="10">
        <v>87.21100104</v>
      </c>
      <c r="N70" s="10">
        <v>105.1</v>
      </c>
      <c r="O70" s="10">
        <v>70.5</v>
      </c>
      <c r="P70" s="10">
        <v>190.2</v>
      </c>
      <c r="Q70" s="10">
        <v>3.373</v>
      </c>
      <c r="R70" s="10">
        <v>18.5</v>
      </c>
      <c r="S70" s="11">
        <v>41099</v>
      </c>
    </row>
    <row r="71" spans="1:19">
      <c r="A71" s="5" t="s">
        <v>103</v>
      </c>
      <c r="B71" s="6" t="s">
        <v>105</v>
      </c>
      <c r="C71" s="7">
        <v>12698</v>
      </c>
      <c r="D71" s="8">
        <v>37805</v>
      </c>
      <c r="E71" s="8">
        <v>32075</v>
      </c>
      <c r="F71" s="9">
        <f t="shared" si="2"/>
        <v>0.848432746991139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21</v>
      </c>
      <c r="L71" s="10">
        <v>23</v>
      </c>
      <c r="M71" s="10">
        <v>94.9466984</v>
      </c>
      <c r="N71" s="10">
        <v>110.2</v>
      </c>
      <c r="O71" s="10">
        <v>70.9</v>
      </c>
      <c r="P71" s="10">
        <v>189.2</v>
      </c>
      <c r="Q71" s="10">
        <v>3.638</v>
      </c>
      <c r="R71" s="10">
        <v>19.8</v>
      </c>
      <c r="S71" s="11">
        <v>41039</v>
      </c>
    </row>
    <row r="72" spans="1:19">
      <c r="A72" s="5" t="s">
        <v>103</v>
      </c>
      <c r="B72" s="6" t="s">
        <v>106</v>
      </c>
      <c r="C72" s="7">
        <v>3334</v>
      </c>
      <c r="D72" s="8">
        <v>46305</v>
      </c>
      <c r="E72" s="8">
        <v>38955</v>
      </c>
      <c r="F72" s="9">
        <f t="shared" si="2"/>
        <v>0.841269841269841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21</v>
      </c>
      <c r="L72" s="10">
        <v>21</v>
      </c>
      <c r="M72" s="10">
        <v>125.0133574</v>
      </c>
      <c r="N72" s="10">
        <v>110.2</v>
      </c>
      <c r="O72" s="10">
        <v>70.9</v>
      </c>
      <c r="P72" s="10">
        <v>189.2</v>
      </c>
      <c r="Q72" s="10">
        <v>3.693</v>
      </c>
      <c r="R72" s="10">
        <v>19.8</v>
      </c>
      <c r="S72" s="11">
        <v>41241</v>
      </c>
    </row>
    <row r="73" spans="1:19">
      <c r="A73" s="5" t="s">
        <v>103</v>
      </c>
      <c r="B73" s="6" t="s">
        <v>107</v>
      </c>
      <c r="C73" s="7">
        <v>6375</v>
      </c>
      <c r="D73" s="8">
        <v>54005</v>
      </c>
      <c r="E73" s="8">
        <v>40375</v>
      </c>
      <c r="F73" s="9">
        <f t="shared" si="2"/>
        <v>0.747615961485048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21</v>
      </c>
      <c r="L73" s="10">
        <v>22</v>
      </c>
      <c r="M73" s="10">
        <v>124.4467163</v>
      </c>
      <c r="N73" s="10">
        <v>112.2</v>
      </c>
      <c r="O73" s="10">
        <v>72</v>
      </c>
      <c r="P73" s="10">
        <v>196.7</v>
      </c>
      <c r="Q73" s="10">
        <v>3.89</v>
      </c>
      <c r="R73" s="10">
        <v>22.5</v>
      </c>
      <c r="S73" s="11">
        <v>40997</v>
      </c>
    </row>
    <row r="74" spans="1:19">
      <c r="A74" s="5" t="s">
        <v>103</v>
      </c>
      <c r="B74" s="6" t="s">
        <v>108</v>
      </c>
      <c r="C74" s="7">
        <v>9126</v>
      </c>
      <c r="D74" s="8">
        <v>60105</v>
      </c>
      <c r="E74" s="8">
        <v>43870</v>
      </c>
      <c r="F74" s="9">
        <f t="shared" si="2"/>
        <v>0.729889360286166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43</v>
      </c>
      <c r="L74" s="10">
        <v>15</v>
      </c>
      <c r="M74" s="10">
        <v>105.760458</v>
      </c>
      <c r="N74" s="10">
        <v>112.2</v>
      </c>
      <c r="O74" s="10">
        <v>76.4</v>
      </c>
      <c r="P74" s="10">
        <v>192.5</v>
      </c>
      <c r="Q74" s="10">
        <v>5.401</v>
      </c>
      <c r="R74" s="10">
        <v>25.4</v>
      </c>
      <c r="S74" s="11">
        <v>41212</v>
      </c>
    </row>
    <row r="75" spans="1:19">
      <c r="A75" s="5" t="s">
        <v>103</v>
      </c>
      <c r="B75" s="6" t="s">
        <v>109</v>
      </c>
      <c r="C75" s="7">
        <v>51238</v>
      </c>
      <c r="D75" s="8">
        <v>34605</v>
      </c>
      <c r="E75" s="8">
        <v>29140</v>
      </c>
      <c r="F75" s="9">
        <f t="shared" si="2"/>
        <v>0.842074844675625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43</v>
      </c>
      <c r="L75" s="10">
        <v>21</v>
      </c>
      <c r="M75" s="10">
        <v>91.94380156</v>
      </c>
      <c r="N75" s="10">
        <v>103</v>
      </c>
      <c r="O75" s="10">
        <v>71.5</v>
      </c>
      <c r="P75" s="10">
        <v>180.1</v>
      </c>
      <c r="Q75" s="10">
        <v>3.9</v>
      </c>
      <c r="R75" s="10">
        <v>17.2</v>
      </c>
      <c r="S75" s="11">
        <v>40912</v>
      </c>
    </row>
    <row r="76" spans="1:19">
      <c r="A76" s="5" t="s">
        <v>110</v>
      </c>
      <c r="B76" s="6" t="s">
        <v>111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21</v>
      </c>
      <c r="L76" s="10">
        <v>22</v>
      </c>
      <c r="M76" s="10">
        <v>113.5402069</v>
      </c>
      <c r="N76" s="10">
        <v>109</v>
      </c>
      <c r="O76" s="10">
        <v>73.6</v>
      </c>
      <c r="P76" s="10">
        <v>208.5</v>
      </c>
      <c r="Q76" s="10">
        <v>3.868</v>
      </c>
      <c r="R76" s="10">
        <v>20</v>
      </c>
      <c r="S76" s="11">
        <v>41124</v>
      </c>
    </row>
    <row r="77" spans="1:19">
      <c r="A77" s="5" t="s">
        <v>110</v>
      </c>
      <c r="B77" s="6" t="s">
        <v>112</v>
      </c>
      <c r="C77" s="7">
        <v>48911</v>
      </c>
      <c r="D77" s="8">
        <v>43330</v>
      </c>
      <c r="E77" s="8">
        <v>21725</v>
      </c>
      <c r="F77" s="9">
        <f t="shared" si="2"/>
        <v>0.501384721901685</v>
      </c>
      <c r="G77" s="9" t="str">
        <f t="shared" si="3"/>
        <v>POOR</v>
      </c>
      <c r="H77" s="10">
        <v>4.6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21</v>
      </c>
      <c r="L77" s="10">
        <v>21</v>
      </c>
      <c r="M77" s="10">
        <v>93.9579169</v>
      </c>
      <c r="N77" s="10">
        <v>117.7</v>
      </c>
      <c r="O77" s="10">
        <v>78.2</v>
      </c>
      <c r="P77" s="10">
        <v>215.3</v>
      </c>
      <c r="Q77" s="10">
        <v>4.121</v>
      </c>
      <c r="R77" s="10">
        <v>19</v>
      </c>
      <c r="S77" s="11">
        <v>41064</v>
      </c>
    </row>
    <row r="78" spans="1:19">
      <c r="A78" s="5" t="s">
        <v>110</v>
      </c>
      <c r="B78" s="6" t="s">
        <v>113</v>
      </c>
      <c r="C78" s="7">
        <v>22925</v>
      </c>
      <c r="D78" s="8">
        <v>42660</v>
      </c>
      <c r="E78" s="8">
        <v>20765</v>
      </c>
      <c r="F78" s="9">
        <f t="shared" si="2"/>
        <v>0.486755743084857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43</v>
      </c>
      <c r="L78" s="10">
        <v>15</v>
      </c>
      <c r="M78" s="10">
        <v>123.9720467</v>
      </c>
      <c r="N78" s="10">
        <v>119</v>
      </c>
      <c r="O78" s="10">
        <v>79.9</v>
      </c>
      <c r="P78" s="10">
        <v>204.8</v>
      </c>
      <c r="Q78" s="10">
        <v>5.393</v>
      </c>
      <c r="R78" s="10">
        <v>30</v>
      </c>
      <c r="S78" s="11">
        <v>41266</v>
      </c>
    </row>
    <row r="79" spans="1:19">
      <c r="A79" s="5" t="s">
        <v>114</v>
      </c>
      <c r="B79" s="6" t="s">
        <v>115</v>
      </c>
      <c r="C79" s="7">
        <v>26232</v>
      </c>
      <c r="D79" s="8">
        <v>13987</v>
      </c>
      <c r="E79" s="8">
        <v>8325</v>
      </c>
      <c r="F79" s="9">
        <f t="shared" si="2"/>
        <v>0.595195538714521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21</v>
      </c>
      <c r="L79" s="10">
        <v>30</v>
      </c>
      <c r="M79" s="10">
        <v>45.83218056</v>
      </c>
      <c r="N79" s="10">
        <v>98.4</v>
      </c>
      <c r="O79" s="10">
        <v>66.5</v>
      </c>
      <c r="P79" s="10">
        <v>173.6</v>
      </c>
      <c r="Q79" s="10">
        <v>2.25</v>
      </c>
      <c r="R79" s="10">
        <v>13.2</v>
      </c>
      <c r="S79" s="11">
        <v>41022</v>
      </c>
    </row>
    <row r="80" spans="1:19">
      <c r="A80" s="5" t="s">
        <v>114</v>
      </c>
      <c r="B80" s="6" t="s">
        <v>116</v>
      </c>
      <c r="C80" s="7">
        <v>42541</v>
      </c>
      <c r="D80" s="8">
        <v>19047</v>
      </c>
      <c r="E80" s="8">
        <v>10395</v>
      </c>
      <c r="F80" s="9">
        <f t="shared" si="2"/>
        <v>0.545755237045204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21</v>
      </c>
      <c r="L80" s="10">
        <v>24</v>
      </c>
      <c r="M80" s="10">
        <v>62.44196235</v>
      </c>
      <c r="N80" s="10">
        <v>100.8</v>
      </c>
      <c r="O80" s="10">
        <v>68.9</v>
      </c>
      <c r="P80" s="10">
        <v>175.4</v>
      </c>
      <c r="Q80" s="10">
        <v>2.91</v>
      </c>
      <c r="R80" s="10">
        <v>15.9</v>
      </c>
      <c r="S80" s="11">
        <v>41237</v>
      </c>
    </row>
    <row r="81" spans="1:19">
      <c r="A81" s="5" t="s">
        <v>114</v>
      </c>
      <c r="B81" s="6" t="s">
        <v>117</v>
      </c>
      <c r="C81" s="7">
        <v>55616</v>
      </c>
      <c r="D81" s="8">
        <v>17357</v>
      </c>
      <c r="E81" s="8">
        <v>10595</v>
      </c>
      <c r="F81" s="9">
        <f t="shared" si="2"/>
        <v>0.610416546638244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21</v>
      </c>
      <c r="L81" s="10">
        <v>25</v>
      </c>
      <c r="M81" s="10">
        <v>58.60677292</v>
      </c>
      <c r="N81" s="10">
        <v>103.7</v>
      </c>
      <c r="O81" s="10">
        <v>68.5</v>
      </c>
      <c r="P81" s="10">
        <v>187.8</v>
      </c>
      <c r="Q81" s="10">
        <v>2.945</v>
      </c>
      <c r="R81" s="10">
        <v>16.3</v>
      </c>
      <c r="S81" s="11">
        <v>40937</v>
      </c>
    </row>
    <row r="82" spans="1:19">
      <c r="A82" s="5" t="s">
        <v>114</v>
      </c>
      <c r="B82" s="6" t="s">
        <v>118</v>
      </c>
      <c r="C82" s="7">
        <v>5711</v>
      </c>
      <c r="D82" s="8">
        <v>24997</v>
      </c>
      <c r="E82" s="8">
        <v>16575</v>
      </c>
      <c r="F82" s="9">
        <f t="shared" si="2"/>
        <v>0.663079569548346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21</v>
      </c>
      <c r="L82" s="10">
        <v>22</v>
      </c>
      <c r="M82" s="10">
        <v>84.83077858</v>
      </c>
      <c r="N82" s="10">
        <v>107.1</v>
      </c>
      <c r="O82" s="10">
        <v>70.3</v>
      </c>
      <c r="P82" s="10">
        <v>194.1</v>
      </c>
      <c r="Q82" s="10">
        <v>3.443</v>
      </c>
      <c r="R82" s="10">
        <v>19</v>
      </c>
      <c r="S82" s="11">
        <v>41149</v>
      </c>
    </row>
    <row r="83" spans="1:19">
      <c r="A83" s="5" t="s">
        <v>114</v>
      </c>
      <c r="B83" s="6" t="s">
        <v>119</v>
      </c>
      <c r="C83" s="7">
        <v>110</v>
      </c>
      <c r="D83" s="8">
        <v>25450</v>
      </c>
      <c r="E83" s="8">
        <v>20940</v>
      </c>
      <c r="F83" s="9">
        <f t="shared" si="2"/>
        <v>0.82278978388998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21</v>
      </c>
      <c r="L83" s="10">
        <v>21</v>
      </c>
      <c r="M83" s="10">
        <v>67.54415494</v>
      </c>
      <c r="N83" s="10">
        <v>97.2</v>
      </c>
      <c r="O83" s="10">
        <v>72.4</v>
      </c>
      <c r="P83" s="10">
        <v>180.3</v>
      </c>
      <c r="Q83" s="10">
        <v>3.131</v>
      </c>
      <c r="R83" s="10">
        <v>19.8</v>
      </c>
      <c r="S83" s="11">
        <v>41089</v>
      </c>
    </row>
    <row r="84" spans="1:19">
      <c r="A84" s="5" t="s">
        <v>114</v>
      </c>
      <c r="B84" s="6" t="s">
        <v>120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43</v>
      </c>
      <c r="L84" s="10">
        <v>18</v>
      </c>
      <c r="M84" s="10">
        <v>83.92081504</v>
      </c>
      <c r="N84" s="10">
        <v>107.3</v>
      </c>
      <c r="O84" s="10">
        <v>69.9</v>
      </c>
      <c r="P84" s="10">
        <v>186.6</v>
      </c>
      <c r="Q84" s="10">
        <v>4.52</v>
      </c>
      <c r="R84" s="10">
        <v>24.3</v>
      </c>
      <c r="S84" s="11">
        <v>40925</v>
      </c>
    </row>
    <row r="85" spans="1:19">
      <c r="A85" s="5" t="s">
        <v>114</v>
      </c>
      <c r="B85" s="6" t="s">
        <v>121</v>
      </c>
      <c r="C85" s="7">
        <v>39348</v>
      </c>
      <c r="D85" s="8">
        <v>22527</v>
      </c>
      <c r="E85" s="8">
        <v>13880</v>
      </c>
      <c r="F85" s="9">
        <f t="shared" si="2"/>
        <v>0.616149509477516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43</v>
      </c>
      <c r="L85" s="10">
        <v>20</v>
      </c>
      <c r="M85" s="10">
        <v>70.66094179</v>
      </c>
      <c r="N85" s="10">
        <v>107.3</v>
      </c>
      <c r="O85" s="10">
        <v>66.7</v>
      </c>
      <c r="P85" s="10">
        <v>178.3</v>
      </c>
      <c r="Q85" s="10">
        <v>3.51</v>
      </c>
      <c r="R85" s="10">
        <v>19.5</v>
      </c>
      <c r="S85" s="11">
        <v>41047</v>
      </c>
    </row>
    <row r="86" spans="1:19">
      <c r="A86" s="5" t="s">
        <v>122</v>
      </c>
      <c r="B86" s="6" t="s">
        <v>123</v>
      </c>
      <c r="C86" s="7">
        <v>14351</v>
      </c>
      <c r="D86" s="8">
        <v>16240</v>
      </c>
      <c r="E86" s="8">
        <v>8800</v>
      </c>
      <c r="F86" s="9">
        <f t="shared" si="2"/>
        <v>0.541871921182266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21</v>
      </c>
      <c r="L86" s="10">
        <v>28</v>
      </c>
      <c r="M86" s="10">
        <v>50.99774761</v>
      </c>
      <c r="N86" s="10">
        <v>106.5</v>
      </c>
      <c r="O86" s="10">
        <v>69.1</v>
      </c>
      <c r="P86" s="10">
        <v>184.8</v>
      </c>
      <c r="Q86" s="10">
        <v>2.769</v>
      </c>
      <c r="R86" s="10">
        <v>15</v>
      </c>
      <c r="S86" s="11">
        <v>41262</v>
      </c>
    </row>
    <row r="87" spans="1:19">
      <c r="A87" s="5" t="s">
        <v>122</v>
      </c>
      <c r="B87" s="6" t="s">
        <v>124</v>
      </c>
      <c r="C87" s="7">
        <v>26529</v>
      </c>
      <c r="D87" s="8">
        <v>16540</v>
      </c>
      <c r="E87" s="8">
        <v>13890</v>
      </c>
      <c r="F87" s="9">
        <f t="shared" si="2"/>
        <v>0.839782345828295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21</v>
      </c>
      <c r="L87" s="10">
        <v>30</v>
      </c>
      <c r="M87" s="10">
        <v>51.11347426</v>
      </c>
      <c r="N87" s="10">
        <v>106.4</v>
      </c>
      <c r="O87" s="10">
        <v>69.6</v>
      </c>
      <c r="P87" s="10">
        <v>185</v>
      </c>
      <c r="Q87" s="10">
        <v>2.892</v>
      </c>
      <c r="R87" s="10">
        <v>16</v>
      </c>
      <c r="S87" s="11">
        <v>40962</v>
      </c>
    </row>
    <row r="88" spans="1:19">
      <c r="A88" s="5" t="s">
        <v>122</v>
      </c>
      <c r="B88" s="6" t="s">
        <v>125</v>
      </c>
      <c r="C88" s="7">
        <v>67956</v>
      </c>
      <c r="D88" s="8">
        <v>19035</v>
      </c>
      <c r="E88" s="8">
        <v>11030</v>
      </c>
      <c r="F88" s="9">
        <f t="shared" si="2"/>
        <v>0.579458891515629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21</v>
      </c>
      <c r="L88" s="10">
        <v>24</v>
      </c>
      <c r="M88" s="10">
        <v>62.23996663</v>
      </c>
      <c r="N88" s="10">
        <v>108.5</v>
      </c>
      <c r="O88" s="10">
        <v>73</v>
      </c>
      <c r="P88" s="10">
        <v>199.7</v>
      </c>
      <c r="Q88" s="10">
        <v>3.379</v>
      </c>
      <c r="R88" s="10">
        <v>16</v>
      </c>
      <c r="S88" s="11">
        <v>41174</v>
      </c>
    </row>
    <row r="89" spans="1:19">
      <c r="A89" s="5" t="s">
        <v>122</v>
      </c>
      <c r="B89" s="6" t="s">
        <v>126</v>
      </c>
      <c r="C89" s="7">
        <v>81174</v>
      </c>
      <c r="D89" s="8">
        <v>22605</v>
      </c>
      <c r="E89" s="8">
        <v>14875</v>
      </c>
      <c r="F89" s="9">
        <f t="shared" si="2"/>
        <v>0.658040256580403</v>
      </c>
      <c r="G89" s="9" t="str">
        <f t="shared" si="3"/>
        <v>POOR</v>
      </c>
      <c r="H89" s="10">
        <v>4.6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21</v>
      </c>
      <c r="L89" s="10">
        <v>21</v>
      </c>
      <c r="M89" s="10">
        <v>80.65769646</v>
      </c>
      <c r="N89" s="10">
        <v>114.7</v>
      </c>
      <c r="O89" s="10">
        <v>78.2</v>
      </c>
      <c r="P89" s="10">
        <v>212</v>
      </c>
      <c r="Q89" s="10">
        <v>3.958</v>
      </c>
      <c r="R89" s="10">
        <v>19</v>
      </c>
      <c r="S89" s="11">
        <v>41114</v>
      </c>
    </row>
    <row r="90" spans="1:19">
      <c r="A90" s="5" t="s">
        <v>122</v>
      </c>
      <c r="B90" s="6" t="s">
        <v>127</v>
      </c>
      <c r="C90" s="7">
        <v>27609</v>
      </c>
      <c r="D90" s="8">
        <v>27560</v>
      </c>
      <c r="E90" s="8">
        <v>20430</v>
      </c>
      <c r="F90" s="9">
        <f t="shared" si="2"/>
        <v>0.741291727140784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43</v>
      </c>
      <c r="L90" s="10">
        <v>18</v>
      </c>
      <c r="M90" s="10">
        <v>85.94974425</v>
      </c>
      <c r="N90" s="10">
        <v>111.6</v>
      </c>
      <c r="O90" s="10">
        <v>70.2</v>
      </c>
      <c r="P90" s="10">
        <v>190.1</v>
      </c>
      <c r="Q90" s="10">
        <v>3.876</v>
      </c>
      <c r="R90" s="10">
        <v>21</v>
      </c>
      <c r="S90" s="11">
        <v>39491</v>
      </c>
    </row>
    <row r="91" spans="1:19">
      <c r="A91" s="5" t="s">
        <v>122</v>
      </c>
      <c r="B91" s="6" t="s">
        <v>128</v>
      </c>
      <c r="C91" s="7">
        <v>20380</v>
      </c>
      <c r="D91" s="8">
        <v>22510</v>
      </c>
      <c r="E91" s="8">
        <v>14795</v>
      </c>
      <c r="F91" s="9">
        <f t="shared" si="2"/>
        <v>0.65726343847179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43</v>
      </c>
      <c r="L91" s="10">
        <v>21</v>
      </c>
      <c r="M91" s="10">
        <v>69.671461</v>
      </c>
      <c r="N91" s="10">
        <v>112.2</v>
      </c>
      <c r="O91" s="10">
        <v>74.9</v>
      </c>
      <c r="P91" s="10">
        <v>194.7</v>
      </c>
      <c r="Q91" s="10">
        <v>3.944</v>
      </c>
      <c r="R91" s="10">
        <v>20</v>
      </c>
      <c r="S91" s="11">
        <v>40106</v>
      </c>
    </row>
    <row r="92" spans="1:19">
      <c r="A92" s="5" t="s">
        <v>129</v>
      </c>
      <c r="B92" s="6" t="s">
        <v>130</v>
      </c>
      <c r="C92" s="7">
        <v>18392</v>
      </c>
      <c r="D92" s="8">
        <v>31750</v>
      </c>
      <c r="E92" s="8">
        <v>26050</v>
      </c>
      <c r="F92" s="9">
        <f t="shared" si="2"/>
        <v>0.820472440944882</v>
      </c>
      <c r="G92" s="9" t="str">
        <f t="shared" si="3"/>
        <v>GOOD</v>
      </c>
      <c r="H92" s="10">
        <v>2.3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21</v>
      </c>
      <c r="L92" s="10">
        <v>26</v>
      </c>
      <c r="M92" s="10">
        <v>78.28073088</v>
      </c>
      <c r="N92" s="10">
        <v>105.9</v>
      </c>
      <c r="O92" s="10">
        <v>67.7</v>
      </c>
      <c r="P92" s="10">
        <v>177.4</v>
      </c>
      <c r="Q92" s="10">
        <v>3.25</v>
      </c>
      <c r="R92" s="10">
        <v>16.4</v>
      </c>
      <c r="S92" s="11">
        <v>40657</v>
      </c>
    </row>
    <row r="93" spans="1:19">
      <c r="A93" s="5" t="s">
        <v>129</v>
      </c>
      <c r="B93" s="6" t="s">
        <v>131</v>
      </c>
      <c r="C93" s="7">
        <v>27602</v>
      </c>
      <c r="D93" s="8">
        <v>49900</v>
      </c>
      <c r="E93" s="8">
        <v>41450</v>
      </c>
      <c r="F93" s="9">
        <f t="shared" si="2"/>
        <v>0.830661322645291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21</v>
      </c>
      <c r="L93" s="10">
        <v>25</v>
      </c>
      <c r="M93" s="10">
        <v>98.2497375</v>
      </c>
      <c r="N93" s="10">
        <v>111.5</v>
      </c>
      <c r="O93" s="10">
        <v>70.8</v>
      </c>
      <c r="P93" s="10">
        <v>189.4</v>
      </c>
      <c r="Q93" s="10">
        <v>3.823</v>
      </c>
      <c r="R93" s="10">
        <v>21.1</v>
      </c>
      <c r="S93" s="11">
        <v>40736</v>
      </c>
    </row>
    <row r="94" spans="1:19">
      <c r="A94" s="5" t="s">
        <v>129</v>
      </c>
      <c r="B94" s="6" t="s">
        <v>132</v>
      </c>
      <c r="C94" s="7">
        <v>16774</v>
      </c>
      <c r="D94" s="8">
        <v>69700</v>
      </c>
      <c r="E94" s="8">
        <v>50375</v>
      </c>
      <c r="F94" s="9">
        <f t="shared" si="2"/>
        <v>0.722740315638451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21</v>
      </c>
      <c r="L94" s="10">
        <v>21</v>
      </c>
      <c r="M94" s="10">
        <v>125.2738757</v>
      </c>
      <c r="N94" s="10">
        <v>121.5</v>
      </c>
      <c r="O94" s="10">
        <v>73.1</v>
      </c>
      <c r="P94" s="10">
        <v>203.1</v>
      </c>
      <c r="Q94" s="10">
        <v>4.133</v>
      </c>
      <c r="R94" s="10">
        <v>23.2</v>
      </c>
      <c r="S94" s="11">
        <v>40707</v>
      </c>
    </row>
    <row r="95" spans="1:19">
      <c r="A95" s="5" t="s">
        <v>129</v>
      </c>
      <c r="B95" s="6" t="s">
        <v>133</v>
      </c>
      <c r="C95" s="7">
        <v>3311</v>
      </c>
      <c r="D95" s="8">
        <v>82600</v>
      </c>
      <c r="E95" s="8">
        <v>58600</v>
      </c>
      <c r="F95" s="9">
        <f t="shared" si="2"/>
        <v>0.709443099273608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21</v>
      </c>
      <c r="L95" s="10">
        <v>20</v>
      </c>
      <c r="M95" s="10">
        <v>139.9822936</v>
      </c>
      <c r="N95" s="10">
        <v>99</v>
      </c>
      <c r="O95" s="10">
        <v>71.3</v>
      </c>
      <c r="P95" s="10">
        <v>177.1</v>
      </c>
      <c r="Q95" s="10">
        <v>4.125</v>
      </c>
      <c r="R95" s="10">
        <v>21.1</v>
      </c>
      <c r="S95" s="11">
        <v>40619</v>
      </c>
    </row>
    <row r="96" spans="1:19">
      <c r="A96" s="5" t="s">
        <v>129</v>
      </c>
      <c r="B96" s="6" t="s">
        <v>134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2.3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21</v>
      </c>
      <c r="L96" s="10">
        <v>26</v>
      </c>
      <c r="M96" s="10">
        <v>82.80736193</v>
      </c>
      <c r="N96" s="10">
        <v>94.5</v>
      </c>
      <c r="O96" s="10">
        <v>67.5</v>
      </c>
      <c r="P96" s="10">
        <v>157.9</v>
      </c>
      <c r="Q96" s="10">
        <v>3.055</v>
      </c>
      <c r="R96" s="10">
        <v>15.9</v>
      </c>
      <c r="S96" s="11">
        <v>40559</v>
      </c>
    </row>
    <row r="97" spans="1:19">
      <c r="A97" s="5" t="s">
        <v>129</v>
      </c>
      <c r="B97" s="6" t="s">
        <v>135</v>
      </c>
      <c r="C97" s="7">
        <v>1526</v>
      </c>
      <c r="D97" s="8">
        <v>41000</v>
      </c>
      <c r="E97" s="8">
        <v>28635</v>
      </c>
      <c r="F97" s="9">
        <f t="shared" si="2"/>
        <v>0.698414634146341</v>
      </c>
      <c r="G97" s="9" t="str">
        <f t="shared" si="3"/>
        <v>GOOD</v>
      </c>
      <c r="H97" s="10">
        <v>2.3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21</v>
      </c>
      <c r="L97" s="10">
        <v>27</v>
      </c>
      <c r="M97" s="10">
        <v>81.84896924</v>
      </c>
      <c r="N97" s="10">
        <v>94.5</v>
      </c>
      <c r="O97" s="10">
        <v>67.5</v>
      </c>
      <c r="P97" s="10">
        <v>157.3</v>
      </c>
      <c r="Q97" s="10">
        <v>2.975</v>
      </c>
      <c r="R97" s="10">
        <v>14</v>
      </c>
      <c r="S97" s="11">
        <v>40761</v>
      </c>
    </row>
    <row r="98" spans="1:19">
      <c r="A98" s="5" t="s">
        <v>129</v>
      </c>
      <c r="B98" s="6" t="s">
        <v>136</v>
      </c>
      <c r="C98" s="7">
        <v>11592</v>
      </c>
      <c r="D98" s="8">
        <v>41600</v>
      </c>
      <c r="E98" s="8">
        <v>29200</v>
      </c>
      <c r="F98" s="9">
        <f t="shared" si="2"/>
        <v>0.701923076923077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21</v>
      </c>
      <c r="L98" s="10">
        <v>26</v>
      </c>
      <c r="M98" s="10">
        <v>92.92579177</v>
      </c>
      <c r="N98" s="10">
        <v>105.9</v>
      </c>
      <c r="O98" s="10">
        <v>67.8</v>
      </c>
      <c r="P98" s="10">
        <v>180.3</v>
      </c>
      <c r="Q98" s="10">
        <v>3.213</v>
      </c>
      <c r="R98" s="10">
        <v>16.4</v>
      </c>
      <c r="S98" s="11">
        <v>40732</v>
      </c>
    </row>
    <row r="99" spans="1:19">
      <c r="A99" s="5" t="s">
        <v>129</v>
      </c>
      <c r="B99" s="6" t="s">
        <v>137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21</v>
      </c>
      <c r="L99" s="10">
        <v>20</v>
      </c>
      <c r="M99" s="10">
        <v>141.1009845</v>
      </c>
      <c r="N99" s="10">
        <v>113.6</v>
      </c>
      <c r="O99" s="10">
        <v>73.1</v>
      </c>
      <c r="P99" s="10">
        <v>196.6</v>
      </c>
      <c r="Q99" s="10">
        <v>4.115</v>
      </c>
      <c r="R99" s="10">
        <v>23.2</v>
      </c>
      <c r="S99" s="11">
        <v>40644</v>
      </c>
    </row>
    <row r="100" spans="1:19">
      <c r="A100" s="5" t="s">
        <v>129</v>
      </c>
      <c r="B100" s="6" t="s">
        <v>138</v>
      </c>
      <c r="C100" s="7">
        <v>28976</v>
      </c>
      <c r="D100" s="8">
        <v>35300</v>
      </c>
      <c r="E100" s="8">
        <v>28720</v>
      </c>
      <c r="F100" s="9">
        <f t="shared" si="2"/>
        <v>0.813597733711048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43</v>
      </c>
      <c r="L100" s="10">
        <v>20</v>
      </c>
      <c r="M100" s="10">
        <v>90.49553213</v>
      </c>
      <c r="N100" s="10">
        <v>111</v>
      </c>
      <c r="O100" s="10">
        <v>72.2</v>
      </c>
      <c r="P100" s="10">
        <v>180.6</v>
      </c>
      <c r="Q100" s="10">
        <v>4.387</v>
      </c>
      <c r="R100" s="10">
        <v>19</v>
      </c>
      <c r="S100" s="11">
        <v>40584</v>
      </c>
    </row>
    <row r="101" spans="1:19">
      <c r="A101" s="5" t="s">
        <v>139</v>
      </c>
      <c r="B101" s="6" t="s">
        <v>140</v>
      </c>
      <c r="C101" s="7">
        <v>42643</v>
      </c>
      <c r="D101" s="8">
        <v>13499</v>
      </c>
      <c r="E101" s="8">
        <v>8450</v>
      </c>
      <c r="F101" s="9">
        <f t="shared" si="2"/>
        <v>0.625972294244018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21</v>
      </c>
      <c r="L101" s="10">
        <v>30</v>
      </c>
      <c r="M101" s="10">
        <v>50.24197791</v>
      </c>
      <c r="N101" s="10">
        <v>99.8</v>
      </c>
      <c r="O101" s="10">
        <v>67.3</v>
      </c>
      <c r="P101" s="10">
        <v>177.5</v>
      </c>
      <c r="Q101" s="10">
        <v>2.593</v>
      </c>
      <c r="R101" s="10">
        <v>13.2</v>
      </c>
      <c r="S101" s="11">
        <v>40786</v>
      </c>
    </row>
    <row r="102" spans="1:19">
      <c r="A102" s="5" t="s">
        <v>139</v>
      </c>
      <c r="B102" s="6" t="s">
        <v>141</v>
      </c>
      <c r="C102" s="7">
        <v>88094</v>
      </c>
      <c r="D102" s="8">
        <v>20390</v>
      </c>
      <c r="E102" s="8">
        <v>11295</v>
      </c>
      <c r="F102" s="9">
        <f t="shared" si="2"/>
        <v>0.553948013732222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21</v>
      </c>
      <c r="L102" s="10">
        <v>25</v>
      </c>
      <c r="M102" s="10">
        <v>63.31372783</v>
      </c>
      <c r="N102" s="10">
        <v>103.1</v>
      </c>
      <c r="O102" s="10">
        <v>69.1</v>
      </c>
      <c r="P102" s="10">
        <v>183.5</v>
      </c>
      <c r="Q102" s="10">
        <v>3.012</v>
      </c>
      <c r="R102" s="10">
        <v>15.9</v>
      </c>
      <c r="S102" s="11">
        <v>40757</v>
      </c>
    </row>
    <row r="103" spans="1:19">
      <c r="A103" s="5" t="s">
        <v>139</v>
      </c>
      <c r="B103" s="6" t="s">
        <v>142</v>
      </c>
      <c r="C103" s="7">
        <v>79853</v>
      </c>
      <c r="D103" s="8">
        <v>26249</v>
      </c>
      <c r="E103" s="8">
        <v>15125</v>
      </c>
      <c r="F103" s="9">
        <f t="shared" si="2"/>
        <v>0.576212427140081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21</v>
      </c>
      <c r="L103" s="10">
        <v>25</v>
      </c>
      <c r="M103" s="10">
        <v>89.42782031</v>
      </c>
      <c r="N103" s="10">
        <v>108.3</v>
      </c>
      <c r="O103" s="10">
        <v>70.3</v>
      </c>
      <c r="P103" s="10">
        <v>190.5</v>
      </c>
      <c r="Q103" s="10">
        <v>3.294</v>
      </c>
      <c r="R103" s="10">
        <v>18.5</v>
      </c>
      <c r="S103" s="11">
        <v>40669</v>
      </c>
    </row>
    <row r="104" spans="1:19">
      <c r="A104" s="5" t="s">
        <v>139</v>
      </c>
      <c r="B104" s="6" t="s">
        <v>143</v>
      </c>
      <c r="C104" s="7">
        <v>27308</v>
      </c>
      <c r="D104" s="8">
        <v>26399</v>
      </c>
      <c r="E104" s="8">
        <v>15380</v>
      </c>
      <c r="F104" s="9">
        <f t="shared" si="2"/>
        <v>0.582597825675215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43</v>
      </c>
      <c r="L104" s="10">
        <v>21</v>
      </c>
      <c r="M104" s="10">
        <v>71.17166413</v>
      </c>
      <c r="N104" s="10">
        <v>112.2</v>
      </c>
      <c r="O104" s="10">
        <v>74.9</v>
      </c>
      <c r="P104" s="10">
        <v>194.8</v>
      </c>
      <c r="Q104" s="10">
        <v>3.991</v>
      </c>
      <c r="R104" s="10">
        <v>20</v>
      </c>
      <c r="S104" s="11">
        <v>40609</v>
      </c>
    </row>
    <row r="105" spans="1:19">
      <c r="A105" s="5" t="s">
        <v>139</v>
      </c>
      <c r="B105" s="6" t="s">
        <v>144</v>
      </c>
      <c r="C105" s="7">
        <v>42574</v>
      </c>
      <c r="D105" s="8">
        <v>29299</v>
      </c>
      <c r="E105" s="8">
        <v>17810</v>
      </c>
      <c r="F105" s="9">
        <f t="shared" si="2"/>
        <v>0.60787057578757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43</v>
      </c>
      <c r="L105" s="10">
        <v>19</v>
      </c>
      <c r="M105" s="10">
        <v>72.29035508</v>
      </c>
      <c r="N105" s="10">
        <v>106.3</v>
      </c>
      <c r="O105" s="10">
        <v>71.7</v>
      </c>
      <c r="P105" s="10">
        <v>182.6</v>
      </c>
      <c r="Q105" s="10">
        <v>3.947</v>
      </c>
      <c r="R105" s="10">
        <v>21</v>
      </c>
      <c r="S105" s="11">
        <v>40811</v>
      </c>
    </row>
    <row r="106" spans="1:19">
      <c r="A106" s="5" t="s">
        <v>139</v>
      </c>
      <c r="B106" s="6" t="s">
        <v>145</v>
      </c>
      <c r="C106" s="7">
        <v>54158</v>
      </c>
      <c r="D106" s="8">
        <v>22799</v>
      </c>
      <c r="E106" s="8">
        <v>13093</v>
      </c>
      <c r="F106" s="9">
        <f t="shared" si="2"/>
        <v>0.574279573665512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43</v>
      </c>
      <c r="L106" s="10">
        <v>18</v>
      </c>
      <c r="M106" s="10">
        <v>69.78294434</v>
      </c>
      <c r="N106" s="10">
        <v>104.3</v>
      </c>
      <c r="O106" s="10">
        <v>70.4</v>
      </c>
      <c r="P106" s="10">
        <v>178</v>
      </c>
      <c r="Q106" s="10">
        <v>3.821</v>
      </c>
      <c r="R106" s="10">
        <v>19.4</v>
      </c>
      <c r="S106" s="11">
        <v>40567</v>
      </c>
    </row>
    <row r="107" spans="1:19">
      <c r="A107" s="5" t="s">
        <v>139</v>
      </c>
      <c r="B107" s="6" t="s">
        <v>146</v>
      </c>
      <c r="C107" s="7">
        <v>65005</v>
      </c>
      <c r="D107" s="8">
        <v>17890</v>
      </c>
      <c r="E107" s="8">
        <v>10670</v>
      </c>
      <c r="F107" s="9">
        <f t="shared" si="2"/>
        <v>0.596422582448295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43</v>
      </c>
      <c r="L107" s="10">
        <v>18</v>
      </c>
      <c r="M107" s="10">
        <v>67.88927059</v>
      </c>
      <c r="N107" s="10">
        <v>116.1</v>
      </c>
      <c r="O107" s="10">
        <v>66.5</v>
      </c>
      <c r="P107" s="10">
        <v>196.1</v>
      </c>
      <c r="Q107" s="10">
        <v>3.217</v>
      </c>
      <c r="R107" s="10">
        <v>19.4</v>
      </c>
      <c r="S107" s="11">
        <v>40782</v>
      </c>
    </row>
    <row r="108" spans="1:19">
      <c r="A108" s="5" t="s">
        <v>147</v>
      </c>
      <c r="B108" s="6" t="s">
        <v>148</v>
      </c>
      <c r="C108" s="7">
        <v>1112</v>
      </c>
      <c r="D108" s="8">
        <v>18145</v>
      </c>
      <c r="E108" s="8">
        <v>11240</v>
      </c>
      <c r="F108" s="9">
        <f t="shared" si="2"/>
        <v>0.619454395150179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21</v>
      </c>
      <c r="L108" s="10">
        <v>25</v>
      </c>
      <c r="M108" s="10">
        <v>60.86161155</v>
      </c>
      <c r="N108" s="10">
        <v>107</v>
      </c>
      <c r="O108" s="10">
        <v>69.4</v>
      </c>
      <c r="P108" s="10">
        <v>192</v>
      </c>
      <c r="Q108" s="10">
        <v>3.102</v>
      </c>
      <c r="R108" s="10">
        <v>15.2</v>
      </c>
      <c r="S108" s="11">
        <v>40694</v>
      </c>
    </row>
    <row r="109" spans="1:19">
      <c r="A109" s="5" t="s">
        <v>147</v>
      </c>
      <c r="B109" s="6" t="s">
        <v>149</v>
      </c>
      <c r="C109" s="7">
        <v>38554</v>
      </c>
      <c r="D109" s="8">
        <v>24150</v>
      </c>
      <c r="E109" s="8">
        <v>17100</v>
      </c>
      <c r="F109" s="9">
        <f t="shared" si="2"/>
        <v>0.708074534161491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21</v>
      </c>
      <c r="L109" s="10">
        <v>23</v>
      </c>
      <c r="M109" s="10">
        <v>86.27252291</v>
      </c>
      <c r="N109" s="10">
        <v>109</v>
      </c>
      <c r="O109" s="10">
        <v>73.6</v>
      </c>
      <c r="P109" s="10">
        <v>195.9</v>
      </c>
      <c r="Q109" s="10">
        <v>3.455</v>
      </c>
      <c r="R109" s="10">
        <v>18</v>
      </c>
      <c r="S109" s="11">
        <v>40634</v>
      </c>
    </row>
    <row r="110" spans="1:19">
      <c r="A110" s="5" t="s">
        <v>147</v>
      </c>
      <c r="B110" s="6" t="s">
        <v>150</v>
      </c>
      <c r="C110" s="7">
        <v>80255</v>
      </c>
      <c r="D110" s="8">
        <v>18270</v>
      </c>
      <c r="E110" s="8">
        <v>11459</v>
      </c>
      <c r="F110" s="9">
        <f t="shared" si="2"/>
        <v>0.6272030651341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21</v>
      </c>
      <c r="L110" s="10">
        <v>27</v>
      </c>
      <c r="M110" s="10">
        <v>60.72744693</v>
      </c>
      <c r="N110" s="10">
        <v>107</v>
      </c>
      <c r="O110" s="10">
        <v>70.1</v>
      </c>
      <c r="P110" s="10">
        <v>186.7</v>
      </c>
      <c r="Q110" s="10">
        <v>2.958</v>
      </c>
      <c r="R110" s="10">
        <v>15</v>
      </c>
      <c r="S110" s="11">
        <v>40106</v>
      </c>
    </row>
    <row r="111" spans="1:19">
      <c r="A111" s="5" t="s">
        <v>147</v>
      </c>
      <c r="B111" s="6" t="s">
        <v>151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21</v>
      </c>
      <c r="L111" s="10">
        <v>22</v>
      </c>
      <c r="M111" s="10">
        <v>103.4416926</v>
      </c>
      <c r="N111" s="10">
        <v>113.8</v>
      </c>
      <c r="O111" s="10">
        <v>74.4</v>
      </c>
      <c r="P111" s="10">
        <v>205.4</v>
      </c>
      <c r="Q111" s="10">
        <v>3.967</v>
      </c>
      <c r="R111" s="10">
        <v>18.5</v>
      </c>
      <c r="S111" s="11">
        <v>40592</v>
      </c>
    </row>
    <row r="112" spans="1:19">
      <c r="A112" s="5" t="s">
        <v>147</v>
      </c>
      <c r="B112" s="6" t="s">
        <v>152</v>
      </c>
      <c r="C112" s="7">
        <v>20017</v>
      </c>
      <c r="D112" s="8">
        <v>31598</v>
      </c>
      <c r="E112" s="8">
        <v>19925</v>
      </c>
      <c r="F112" s="9">
        <f t="shared" si="2"/>
        <v>0.630577884676245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43</v>
      </c>
      <c r="L112" s="10">
        <v>19</v>
      </c>
      <c r="M112" s="10">
        <v>80.51167259</v>
      </c>
      <c r="N112" s="10">
        <v>107</v>
      </c>
      <c r="O112" s="10">
        <v>67.8</v>
      </c>
      <c r="P112" s="10">
        <v>181.2</v>
      </c>
      <c r="Q112" s="10">
        <v>4.068</v>
      </c>
      <c r="R112" s="10">
        <v>17.5</v>
      </c>
      <c r="S112" s="11">
        <v>40807</v>
      </c>
    </row>
    <row r="113" spans="1:19">
      <c r="A113" s="5" t="s">
        <v>147</v>
      </c>
      <c r="B113" s="6" t="s">
        <v>153</v>
      </c>
      <c r="C113" s="7">
        <v>24361</v>
      </c>
      <c r="D113" s="8">
        <v>25345</v>
      </c>
      <c r="E113" s="8">
        <v>15240</v>
      </c>
      <c r="F113" s="9">
        <f t="shared" si="2"/>
        <v>0.601302031958966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43</v>
      </c>
      <c r="L113" s="10">
        <v>22</v>
      </c>
      <c r="M113" s="10">
        <v>76.09657042</v>
      </c>
      <c r="N113" s="10">
        <v>120</v>
      </c>
      <c r="O113" s="10">
        <v>72.2</v>
      </c>
      <c r="P113" s="10">
        <v>201.4</v>
      </c>
      <c r="Q113" s="10">
        <v>3.948</v>
      </c>
      <c r="R113" s="10">
        <v>25</v>
      </c>
      <c r="S113" s="11">
        <v>40719</v>
      </c>
    </row>
    <row r="114" spans="1:19">
      <c r="A114" s="5" t="s">
        <v>154</v>
      </c>
      <c r="B114" s="6" t="s">
        <v>62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21</v>
      </c>
      <c r="L114" s="10">
        <v>29</v>
      </c>
      <c r="M114" s="10">
        <v>52.08489875</v>
      </c>
      <c r="N114" s="10">
        <v>105</v>
      </c>
      <c r="O114" s="10">
        <v>74.4</v>
      </c>
      <c r="P114" s="10">
        <v>174.4</v>
      </c>
      <c r="Q114" s="10">
        <v>2.559</v>
      </c>
      <c r="R114" s="10">
        <v>12.5</v>
      </c>
      <c r="S114" s="11">
        <v>40659</v>
      </c>
    </row>
    <row r="115" spans="1:19">
      <c r="A115" s="5" t="s">
        <v>154</v>
      </c>
      <c r="B115" s="6" t="s">
        <v>155</v>
      </c>
      <c r="C115" s="7">
        <v>5240</v>
      </c>
      <c r="D115" s="8">
        <v>16080</v>
      </c>
      <c r="E115" s="8">
        <v>9800</v>
      </c>
      <c r="F115" s="9">
        <f t="shared" si="2"/>
        <v>0.609452736318408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21</v>
      </c>
      <c r="L115" s="10">
        <v>27</v>
      </c>
      <c r="M115" s="10">
        <v>53.41189767</v>
      </c>
      <c r="N115" s="10">
        <v>108</v>
      </c>
      <c r="O115" s="10">
        <v>71</v>
      </c>
      <c r="P115" s="10">
        <v>186.3</v>
      </c>
      <c r="Q115" s="10">
        <v>2.942</v>
      </c>
      <c r="R115" s="10">
        <v>16</v>
      </c>
      <c r="S115" s="11">
        <v>40861</v>
      </c>
    </row>
    <row r="116" spans="1:19">
      <c r="A116" s="5" t="s">
        <v>154</v>
      </c>
      <c r="B116" s="6" t="s">
        <v>156</v>
      </c>
      <c r="C116" s="7">
        <v>24155</v>
      </c>
      <c r="D116" s="8">
        <v>18850</v>
      </c>
      <c r="E116" s="8">
        <v>12025</v>
      </c>
      <c r="F116" s="9">
        <f t="shared" si="2"/>
        <v>0.637931034482759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43</v>
      </c>
      <c r="L116" s="10">
        <v>24</v>
      </c>
      <c r="M116" s="10">
        <v>60.95118512</v>
      </c>
      <c r="N116" s="10">
        <v>113.3</v>
      </c>
      <c r="O116" s="10">
        <v>76.8</v>
      </c>
      <c r="P116" s="10">
        <v>186.3</v>
      </c>
      <c r="Q116" s="10">
        <v>3.528</v>
      </c>
      <c r="R116" s="10">
        <v>20</v>
      </c>
      <c r="S116" s="11">
        <v>40657</v>
      </c>
    </row>
    <row r="117" spans="1:19">
      <c r="A117" s="5" t="s">
        <v>154</v>
      </c>
      <c r="B117" s="6" t="s">
        <v>157</v>
      </c>
      <c r="C117" s="7">
        <v>1872</v>
      </c>
      <c r="D117" s="8">
        <v>43000</v>
      </c>
      <c r="E117" s="8">
        <v>30434</v>
      </c>
      <c r="F117" s="9">
        <f t="shared" si="2"/>
        <v>0.707767441860465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21</v>
      </c>
      <c r="L117" s="10">
        <v>21</v>
      </c>
      <c r="M117" s="10">
        <v>106.9844563</v>
      </c>
      <c r="N117" s="10">
        <v>113.3</v>
      </c>
      <c r="O117" s="10">
        <v>76.3</v>
      </c>
      <c r="P117" s="10">
        <v>165.4</v>
      </c>
      <c r="Q117" s="10">
        <v>2.85</v>
      </c>
      <c r="R117" s="10">
        <v>12</v>
      </c>
      <c r="S117" s="11">
        <v>41087</v>
      </c>
    </row>
    <row r="118" spans="1:19">
      <c r="A118" s="5" t="s">
        <v>158</v>
      </c>
      <c r="B118" s="6" t="s">
        <v>159</v>
      </c>
      <c r="C118" s="7">
        <v>51645</v>
      </c>
      <c r="D118" s="8">
        <v>21610</v>
      </c>
      <c r="E118" s="8">
        <v>13790</v>
      </c>
      <c r="F118" s="9">
        <f t="shared" si="2"/>
        <v>0.638130495141138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21</v>
      </c>
      <c r="L118" s="10">
        <v>27</v>
      </c>
      <c r="M118" s="10">
        <v>62.0158703</v>
      </c>
      <c r="N118" s="10">
        <v>104.1</v>
      </c>
      <c r="O118" s="10">
        <v>68.4</v>
      </c>
      <c r="P118" s="10">
        <v>181.9</v>
      </c>
      <c r="Q118" s="10">
        <v>2.906</v>
      </c>
      <c r="R118" s="10">
        <v>15</v>
      </c>
      <c r="S118" s="11">
        <v>40933</v>
      </c>
    </row>
    <row r="119" spans="1:19">
      <c r="A119" s="5" t="s">
        <v>158</v>
      </c>
      <c r="B119" s="6" t="s">
        <v>160</v>
      </c>
      <c r="C119" s="7">
        <v>131097</v>
      </c>
      <c r="D119" s="8">
        <v>19720</v>
      </c>
      <c r="E119" s="8">
        <v>10290</v>
      </c>
      <c r="F119" s="9">
        <f t="shared" si="2"/>
        <v>0.521805273833671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21</v>
      </c>
      <c r="L119" s="10">
        <v>25</v>
      </c>
      <c r="M119" s="10">
        <v>70.38973726</v>
      </c>
      <c r="N119" s="10">
        <v>107</v>
      </c>
      <c r="O119" s="10">
        <v>70.4</v>
      </c>
      <c r="P119" s="10">
        <v>186.3</v>
      </c>
      <c r="Q119" s="10">
        <v>3.091</v>
      </c>
      <c r="R119" s="10">
        <v>15.2</v>
      </c>
      <c r="S119" s="11">
        <v>41239</v>
      </c>
    </row>
    <row r="120" spans="1:19">
      <c r="A120" s="5" t="s">
        <v>158</v>
      </c>
      <c r="B120" s="6" t="s">
        <v>161</v>
      </c>
      <c r="C120" s="7">
        <v>19911</v>
      </c>
      <c r="D120" s="8">
        <v>25310</v>
      </c>
      <c r="E120" s="8">
        <v>17805</v>
      </c>
      <c r="F120" s="9">
        <f t="shared" si="2"/>
        <v>0.703476886606085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21</v>
      </c>
      <c r="L120" s="10">
        <v>25</v>
      </c>
      <c r="M120" s="10">
        <v>81.49272616</v>
      </c>
      <c r="N120" s="10">
        <v>101.1</v>
      </c>
      <c r="O120" s="10">
        <v>74.5</v>
      </c>
      <c r="P120" s="10">
        <v>193.4</v>
      </c>
      <c r="Q120" s="10">
        <v>3.492</v>
      </c>
      <c r="R120" s="10">
        <v>16.8</v>
      </c>
      <c r="S120" s="11">
        <v>41076</v>
      </c>
    </row>
    <row r="121" spans="1:19">
      <c r="A121" s="5" t="s">
        <v>158</v>
      </c>
      <c r="B121" s="6" t="s">
        <v>162</v>
      </c>
      <c r="C121" s="7">
        <v>92364</v>
      </c>
      <c r="D121" s="8">
        <v>21665</v>
      </c>
      <c r="E121" s="8">
        <v>14010</v>
      </c>
      <c r="F121" s="9">
        <f t="shared" si="2"/>
        <v>0.646665128086776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21</v>
      </c>
      <c r="L121" s="10">
        <v>25</v>
      </c>
      <c r="M121" s="10">
        <v>78.31816813</v>
      </c>
      <c r="N121" s="10">
        <v>110.5</v>
      </c>
      <c r="O121" s="10">
        <v>72.7</v>
      </c>
      <c r="P121" s="10">
        <v>196.5</v>
      </c>
      <c r="Q121" s="10">
        <v>3.396</v>
      </c>
      <c r="R121" s="10">
        <v>18</v>
      </c>
      <c r="S121" s="11">
        <v>41197</v>
      </c>
    </row>
    <row r="122" spans="1:19">
      <c r="A122" s="5" t="s">
        <v>158</v>
      </c>
      <c r="B122" s="6" t="s">
        <v>163</v>
      </c>
      <c r="C122" s="7">
        <v>35945</v>
      </c>
      <c r="D122" s="8">
        <v>23755</v>
      </c>
      <c r="E122" s="8">
        <v>13225</v>
      </c>
      <c r="F122" s="9">
        <f t="shared" si="2"/>
        <v>0.556724900021048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21</v>
      </c>
      <c r="L122" s="10">
        <v>24</v>
      </c>
      <c r="M122" s="10">
        <v>82.6613556</v>
      </c>
      <c r="N122" s="10">
        <v>112.2</v>
      </c>
      <c r="O122" s="10">
        <v>72.6</v>
      </c>
      <c r="P122" s="10">
        <v>202.5</v>
      </c>
      <c r="Q122" s="10">
        <v>3.59</v>
      </c>
      <c r="R122" s="10">
        <v>17.5</v>
      </c>
      <c r="S122" s="11">
        <v>40681</v>
      </c>
    </row>
    <row r="123" spans="1:19">
      <c r="A123" s="5" t="s">
        <v>158</v>
      </c>
      <c r="B123" s="6" t="s">
        <v>164</v>
      </c>
      <c r="C123" s="7">
        <v>39572</v>
      </c>
      <c r="D123" s="8">
        <v>25635</v>
      </c>
      <c r="E123" s="8">
        <v>14215</v>
      </c>
      <c r="F123" s="9">
        <f t="shared" si="2"/>
        <v>0.554515311098108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43</v>
      </c>
      <c r="L123" s="10">
        <v>23</v>
      </c>
      <c r="M123" s="10">
        <v>76.20843952</v>
      </c>
      <c r="N123" s="10">
        <v>120</v>
      </c>
      <c r="O123" s="10">
        <v>72.7</v>
      </c>
      <c r="P123" s="10">
        <v>201.3</v>
      </c>
      <c r="Q123" s="10">
        <v>3.942</v>
      </c>
      <c r="R123" s="10">
        <v>25</v>
      </c>
      <c r="S123" s="11">
        <v>41112</v>
      </c>
    </row>
    <row r="124" spans="1:19">
      <c r="A124" s="5" t="s">
        <v>165</v>
      </c>
      <c r="B124" s="6" t="s">
        <v>166</v>
      </c>
      <c r="C124" s="7">
        <v>8982</v>
      </c>
      <c r="D124" s="8">
        <v>41430</v>
      </c>
      <c r="E124" s="8">
        <v>41250</v>
      </c>
      <c r="F124" s="9">
        <f t="shared" si="2"/>
        <v>0.995655322230268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21</v>
      </c>
      <c r="L124" s="10">
        <v>22</v>
      </c>
      <c r="M124" s="10">
        <v>93.4373307</v>
      </c>
      <c r="N124" s="10">
        <v>95.2</v>
      </c>
      <c r="O124" s="10">
        <v>70.1</v>
      </c>
      <c r="P124" s="10">
        <v>171</v>
      </c>
      <c r="Q124" s="10">
        <v>2.778</v>
      </c>
      <c r="R124" s="10">
        <v>17</v>
      </c>
      <c r="S124" s="11">
        <v>40958</v>
      </c>
    </row>
    <row r="125" spans="1:19">
      <c r="A125" s="5" t="s">
        <v>165</v>
      </c>
      <c r="B125" s="6" t="s">
        <v>167</v>
      </c>
      <c r="C125" s="7">
        <v>1280</v>
      </c>
      <c r="D125" s="8">
        <v>71020</v>
      </c>
      <c r="E125" s="8">
        <v>60625</v>
      </c>
      <c r="F125" s="9">
        <f t="shared" si="2"/>
        <v>0.853632779498733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21</v>
      </c>
      <c r="L125" s="10">
        <v>21</v>
      </c>
      <c r="M125" s="10">
        <v>134.3909754</v>
      </c>
      <c r="N125" s="10">
        <v>92.6</v>
      </c>
      <c r="O125" s="10">
        <v>69.5</v>
      </c>
      <c r="P125" s="10">
        <v>174.5</v>
      </c>
      <c r="Q125" s="10">
        <v>3.032</v>
      </c>
      <c r="R125" s="10">
        <v>17</v>
      </c>
      <c r="S125" s="11">
        <v>41264</v>
      </c>
    </row>
    <row r="126" spans="1:19">
      <c r="A126" s="5" t="s">
        <v>165</v>
      </c>
      <c r="B126" s="6" t="s">
        <v>168</v>
      </c>
      <c r="C126" s="7">
        <v>1866</v>
      </c>
      <c r="D126" s="8">
        <v>74970</v>
      </c>
      <c r="E126" s="8">
        <v>67550</v>
      </c>
      <c r="F126" s="9">
        <f t="shared" si="2"/>
        <v>0.901027077497666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21</v>
      </c>
      <c r="L126" s="10">
        <v>23</v>
      </c>
      <c r="M126" s="10">
        <v>135.9147096</v>
      </c>
      <c r="N126" s="10">
        <v>92.6</v>
      </c>
      <c r="O126" s="10">
        <v>69.5</v>
      </c>
      <c r="P126" s="10">
        <v>174.5</v>
      </c>
      <c r="Q126" s="10">
        <v>3.075</v>
      </c>
      <c r="R126" s="10">
        <v>17</v>
      </c>
      <c r="S126" s="11">
        <v>40735</v>
      </c>
    </row>
    <row r="127" spans="1:19">
      <c r="A127" s="5" t="s">
        <v>169</v>
      </c>
      <c r="B127" s="15" t="s">
        <v>170</v>
      </c>
      <c r="C127" s="7">
        <v>9191</v>
      </c>
      <c r="D127" s="8">
        <v>33120</v>
      </c>
      <c r="E127" s="8">
        <v>22789</v>
      </c>
      <c r="F127" s="9">
        <f t="shared" si="2"/>
        <v>0.688073671497585</v>
      </c>
      <c r="G127" s="9" t="str">
        <f t="shared" si="3"/>
        <v>POOR</v>
      </c>
      <c r="H127" s="10">
        <v>2.3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21</v>
      </c>
      <c r="L127" s="10">
        <v>23</v>
      </c>
      <c r="M127" s="10">
        <v>73.50377819</v>
      </c>
      <c r="N127" s="10">
        <v>106.4</v>
      </c>
      <c r="O127" s="10">
        <v>70.6</v>
      </c>
      <c r="P127" s="10">
        <v>189.2</v>
      </c>
      <c r="Q127" s="10">
        <v>3.28</v>
      </c>
      <c r="R127" s="10">
        <v>18.5</v>
      </c>
      <c r="S127" s="11">
        <v>41222</v>
      </c>
    </row>
    <row r="128" spans="1:19">
      <c r="A128" s="5" t="s">
        <v>169</v>
      </c>
      <c r="B128" s="15" t="s">
        <v>171</v>
      </c>
      <c r="C128" s="7">
        <v>12115</v>
      </c>
      <c r="D128" s="8">
        <v>26100</v>
      </c>
      <c r="E128" s="8">
        <v>18255</v>
      </c>
      <c r="F128" s="9">
        <f t="shared" si="2"/>
        <v>0.699425287356322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21</v>
      </c>
      <c r="L128" s="10">
        <v>23</v>
      </c>
      <c r="M128" s="10">
        <v>76.02304771</v>
      </c>
      <c r="N128" s="10">
        <v>102.6</v>
      </c>
      <c r="O128" s="10">
        <v>67.4</v>
      </c>
      <c r="P128" s="10">
        <v>182.2</v>
      </c>
      <c r="Q128" s="10">
        <v>2.99</v>
      </c>
      <c r="R128" s="10">
        <v>16.9</v>
      </c>
      <c r="S128" s="11">
        <v>40706</v>
      </c>
    </row>
    <row r="129" spans="1:19">
      <c r="A129" s="5" t="s">
        <v>172</v>
      </c>
      <c r="B129" s="6" t="s">
        <v>173</v>
      </c>
      <c r="C129" s="7">
        <v>80620</v>
      </c>
      <c r="D129" s="8">
        <v>10685</v>
      </c>
      <c r="E129" s="8">
        <v>9200</v>
      </c>
      <c r="F129" s="9">
        <f t="shared" si="2"/>
        <v>0.861020121665887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21</v>
      </c>
      <c r="L129" s="10">
        <v>33</v>
      </c>
      <c r="M129" s="10">
        <v>39.98642475</v>
      </c>
      <c r="N129" s="10">
        <v>102.4</v>
      </c>
      <c r="O129" s="10">
        <v>66.4</v>
      </c>
      <c r="P129" s="10">
        <v>176.9</v>
      </c>
      <c r="Q129" s="10">
        <v>2.332</v>
      </c>
      <c r="R129" s="10">
        <v>12.1</v>
      </c>
      <c r="S129" s="11">
        <v>41137</v>
      </c>
    </row>
    <row r="130" spans="1:19">
      <c r="A130" s="5" t="s">
        <v>172</v>
      </c>
      <c r="B130" s="6" t="s">
        <v>174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21</v>
      </c>
      <c r="L130" s="10">
        <v>33</v>
      </c>
      <c r="M130" s="10">
        <v>40.70007242</v>
      </c>
      <c r="N130" s="10">
        <v>102.4</v>
      </c>
      <c r="O130" s="10">
        <v>66.4</v>
      </c>
      <c r="P130" s="10">
        <v>180</v>
      </c>
      <c r="Q130" s="10">
        <v>2.367</v>
      </c>
      <c r="R130" s="10">
        <v>12.1</v>
      </c>
      <c r="S130" s="11">
        <v>40618</v>
      </c>
    </row>
    <row r="131" spans="1:19">
      <c r="A131" s="5" t="s">
        <v>172</v>
      </c>
      <c r="B131" s="6" t="s">
        <v>175</v>
      </c>
      <c r="C131" s="7">
        <v>5223</v>
      </c>
      <c r="D131" s="8">
        <v>14290</v>
      </c>
      <c r="E131" s="8">
        <v>10790</v>
      </c>
      <c r="F131" s="9">
        <f t="shared" si="4"/>
        <v>0.755073477956613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21</v>
      </c>
      <c r="L131" s="10">
        <v>31</v>
      </c>
      <c r="M131" s="10">
        <v>49.86577367</v>
      </c>
      <c r="N131" s="10">
        <v>102.4</v>
      </c>
      <c r="O131" s="10">
        <v>66.4</v>
      </c>
      <c r="P131" s="10">
        <v>176.9</v>
      </c>
      <c r="Q131" s="10">
        <v>2.452</v>
      </c>
      <c r="R131" s="10">
        <v>12.1</v>
      </c>
      <c r="S131" s="11">
        <v>40558</v>
      </c>
    </row>
    <row r="132" spans="1:19">
      <c r="A132" s="5" t="s">
        <v>172</v>
      </c>
      <c r="B132" s="6" t="s">
        <v>176</v>
      </c>
      <c r="C132" s="7">
        <v>8472</v>
      </c>
      <c r="D132" s="8">
        <v>18835</v>
      </c>
      <c r="E132" s="8">
        <v>13700</v>
      </c>
      <c r="F132" s="9">
        <f t="shared" si="4"/>
        <v>0.727369259357579</v>
      </c>
      <c r="G132" s="9" t="str">
        <f t="shared" si="5"/>
        <v>GOOD</v>
      </c>
      <c r="H132" s="10">
        <v>2.2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21</v>
      </c>
      <c r="L132" s="10">
        <v>27</v>
      </c>
      <c r="M132" s="10">
        <v>56.29524304</v>
      </c>
      <c r="N132" s="10">
        <v>106.5</v>
      </c>
      <c r="O132" s="10">
        <v>69</v>
      </c>
      <c r="P132" s="10">
        <v>190.4</v>
      </c>
      <c r="Q132" s="10">
        <v>3.075</v>
      </c>
      <c r="R132" s="10">
        <v>13.1</v>
      </c>
      <c r="S132" s="11">
        <v>40760</v>
      </c>
    </row>
    <row r="133" spans="1:19">
      <c r="A133" s="5" t="s">
        <v>172</v>
      </c>
      <c r="B133" s="6" t="s">
        <v>177</v>
      </c>
      <c r="C133" s="7">
        <v>49989</v>
      </c>
      <c r="D133" s="8">
        <v>15010</v>
      </c>
      <c r="E133" s="8">
        <v>9900</v>
      </c>
      <c r="F133" s="9">
        <f t="shared" si="4"/>
        <v>0.659560293137908</v>
      </c>
      <c r="G133" s="9" t="str">
        <f t="shared" si="5"/>
        <v>POOR</v>
      </c>
      <c r="H133" s="10">
        <v>2.2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21</v>
      </c>
      <c r="L133" s="10">
        <v>28</v>
      </c>
      <c r="M133" s="10">
        <v>54.81972825</v>
      </c>
      <c r="N133" s="10">
        <v>106.5</v>
      </c>
      <c r="O133" s="10">
        <v>69</v>
      </c>
      <c r="P133" s="10">
        <v>190.4</v>
      </c>
      <c r="Q133" s="10">
        <v>2.91</v>
      </c>
      <c r="R133" s="10">
        <v>13.1</v>
      </c>
      <c r="S133" s="11">
        <v>41247</v>
      </c>
    </row>
    <row r="134" spans="1:19">
      <c r="A134" s="5" t="s">
        <v>178</v>
      </c>
      <c r="B134" s="6" t="s">
        <v>179</v>
      </c>
      <c r="C134" s="7">
        <v>47107</v>
      </c>
      <c r="D134" s="8">
        <v>22695</v>
      </c>
      <c r="E134" s="8">
        <v>16770</v>
      </c>
      <c r="F134" s="9">
        <f t="shared" si="4"/>
        <v>0.738929279576999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21</v>
      </c>
      <c r="L134" s="10">
        <v>25</v>
      </c>
      <c r="M134" s="10">
        <v>67.7659076</v>
      </c>
      <c r="N134" s="10">
        <v>103.5</v>
      </c>
      <c r="O134" s="10">
        <v>67.5</v>
      </c>
      <c r="P134" s="10">
        <v>185.8</v>
      </c>
      <c r="Q134" s="10">
        <v>3.415</v>
      </c>
      <c r="R134" s="10">
        <v>16.9</v>
      </c>
      <c r="S134" s="11">
        <v>40731</v>
      </c>
    </row>
    <row r="135" spans="1:19">
      <c r="A135" s="5" t="s">
        <v>178</v>
      </c>
      <c r="B135" s="6" t="s">
        <v>180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43</v>
      </c>
      <c r="L135" s="10">
        <v>24</v>
      </c>
      <c r="M135" s="10">
        <v>66.76294331</v>
      </c>
      <c r="N135" s="10">
        <v>99.4</v>
      </c>
      <c r="O135" s="10">
        <v>68.3</v>
      </c>
      <c r="P135" s="10">
        <v>175.2</v>
      </c>
      <c r="Q135" s="10">
        <v>3.125</v>
      </c>
      <c r="R135" s="10">
        <v>15.9</v>
      </c>
      <c r="S135" s="11">
        <v>41162</v>
      </c>
    </row>
    <row r="136" spans="1:19">
      <c r="A136" s="5" t="s">
        <v>181</v>
      </c>
      <c r="B136" s="6" t="s">
        <v>182</v>
      </c>
      <c r="C136" s="7">
        <v>142535</v>
      </c>
      <c r="D136" s="8">
        <v>13108</v>
      </c>
      <c r="E136" s="8">
        <v>10025</v>
      </c>
      <c r="F136" s="9">
        <f t="shared" si="4"/>
        <v>0.764800122062862</v>
      </c>
      <c r="G136" s="9" t="str">
        <f t="shared" si="5"/>
        <v>GOOD</v>
      </c>
      <c r="H136" s="10">
        <v>1.8</v>
      </c>
      <c r="I136" s="10">
        <v>120</v>
      </c>
      <c r="J136" s="10" t="str" cm="1">
        <f t="array" ref="J136">_xlfn.IFS(I136&gt;299,"High HP",I136&gt;99,"Medium HP",I136&lt;100,"Low HP")</f>
        <v>Medium HP</v>
      </c>
      <c r="K136" s="10" t="s">
        <v>21</v>
      </c>
      <c r="L136" s="10">
        <v>33</v>
      </c>
      <c r="M136" s="10">
        <v>47.96897242</v>
      </c>
      <c r="N136" s="10">
        <v>97</v>
      </c>
      <c r="O136" s="10">
        <v>66.7</v>
      </c>
      <c r="P136" s="10">
        <v>174</v>
      </c>
      <c r="Q136" s="10">
        <v>2.42</v>
      </c>
      <c r="R136" s="10">
        <v>13.2</v>
      </c>
      <c r="S136" s="11">
        <v>40644</v>
      </c>
    </row>
    <row r="137" spans="1:19">
      <c r="A137" s="5" t="s">
        <v>181</v>
      </c>
      <c r="B137" s="6" t="s">
        <v>183</v>
      </c>
      <c r="C137" s="7">
        <v>247994</v>
      </c>
      <c r="D137" s="8">
        <v>17518</v>
      </c>
      <c r="E137" s="8">
        <v>13245</v>
      </c>
      <c r="F137" s="9">
        <f t="shared" si="4"/>
        <v>0.756079461125699</v>
      </c>
      <c r="G137" s="9" t="str">
        <f t="shared" si="5"/>
        <v>GOOD</v>
      </c>
      <c r="H137" s="10">
        <v>2.2</v>
      </c>
      <c r="I137" s="10">
        <v>133</v>
      </c>
      <c r="J137" s="10" t="str" cm="1">
        <f t="array" ref="J137">_xlfn.IFS(I137&gt;299,"High HP",I137&gt;99,"Medium HP",I137&lt;100,"Low HP")</f>
        <v>Medium HP</v>
      </c>
      <c r="K137" s="10" t="s">
        <v>21</v>
      </c>
      <c r="L137" s="10">
        <v>27</v>
      </c>
      <c r="M137" s="10">
        <v>54.37241965</v>
      </c>
      <c r="N137" s="10">
        <v>105.2</v>
      </c>
      <c r="O137" s="10">
        <v>70.1</v>
      </c>
      <c r="P137" s="10">
        <v>188.5</v>
      </c>
      <c r="Q137" s="10">
        <v>2.998</v>
      </c>
      <c r="R137" s="10">
        <v>18.5</v>
      </c>
      <c r="S137" s="11">
        <v>40584</v>
      </c>
    </row>
    <row r="138" spans="1:19">
      <c r="A138" s="5" t="s">
        <v>181</v>
      </c>
      <c r="B138" s="6" t="s">
        <v>184</v>
      </c>
      <c r="C138" s="7">
        <v>63849</v>
      </c>
      <c r="D138" s="8">
        <v>25545</v>
      </c>
      <c r="E138" s="8">
        <v>18140</v>
      </c>
      <c r="F138" s="9">
        <f t="shared" si="4"/>
        <v>0.710119397142298</v>
      </c>
      <c r="G138" s="9" t="str">
        <f t="shared" si="5"/>
        <v>GOOD</v>
      </c>
      <c r="H138" s="10">
        <v>3</v>
      </c>
      <c r="I138" s="10">
        <v>210</v>
      </c>
      <c r="J138" s="10" t="str" cm="1">
        <f t="array" ref="J138">_xlfn.IFS(I138&gt;299,"High HP",I138&gt;99,"Medium HP",I138&lt;100,"Low HP")</f>
        <v>Medium HP</v>
      </c>
      <c r="K138" s="10" t="s">
        <v>21</v>
      </c>
      <c r="L138" s="10">
        <v>26</v>
      </c>
      <c r="M138" s="10">
        <v>84.91189826</v>
      </c>
      <c r="N138" s="10">
        <v>107.1</v>
      </c>
      <c r="O138" s="10">
        <v>71.7</v>
      </c>
      <c r="P138" s="10">
        <v>191.9</v>
      </c>
      <c r="Q138" s="10">
        <v>3.417</v>
      </c>
      <c r="R138" s="10">
        <v>18.5</v>
      </c>
      <c r="S138" s="11">
        <v>40786</v>
      </c>
    </row>
    <row r="139" spans="1:19">
      <c r="A139" s="5" t="s">
        <v>181</v>
      </c>
      <c r="B139" s="6" t="s">
        <v>185</v>
      </c>
      <c r="C139" s="7">
        <v>33269</v>
      </c>
      <c r="D139" s="8">
        <v>16875</v>
      </c>
      <c r="E139" s="8">
        <v>15445</v>
      </c>
      <c r="F139" s="9">
        <f t="shared" si="4"/>
        <v>0.915259259259259</v>
      </c>
      <c r="G139" s="9" t="str">
        <f t="shared" si="5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21</v>
      </c>
      <c r="L139" s="10">
        <v>31</v>
      </c>
      <c r="M139" s="10">
        <v>56.49603034</v>
      </c>
      <c r="N139" s="10">
        <v>102.4</v>
      </c>
      <c r="O139" s="10">
        <v>68.3</v>
      </c>
      <c r="P139" s="10">
        <v>170.5</v>
      </c>
      <c r="Q139" s="10">
        <v>2.425</v>
      </c>
      <c r="R139" s="10">
        <v>14.5</v>
      </c>
      <c r="S139" s="11">
        <v>41272</v>
      </c>
    </row>
    <row r="140" spans="1:19">
      <c r="A140" s="5" t="s">
        <v>181</v>
      </c>
      <c r="B140" s="6" t="s">
        <v>186</v>
      </c>
      <c r="C140" s="7">
        <v>84087</v>
      </c>
      <c r="D140" s="8">
        <v>11528</v>
      </c>
      <c r="E140" s="8">
        <v>9575</v>
      </c>
      <c r="F140" s="9">
        <f t="shared" si="4"/>
        <v>0.83058639833449</v>
      </c>
      <c r="G140" s="9" t="str">
        <f t="shared" si="5"/>
        <v>GOOD</v>
      </c>
      <c r="H140" s="10">
        <v>2.4</v>
      </c>
      <c r="I140" s="10">
        <v>142</v>
      </c>
      <c r="J140" s="10" t="str" cm="1">
        <f t="array" ref="J140">_xlfn.IFS(I140&gt;299,"High HP",I140&gt;99,"Medium HP",I140&lt;100,"Low HP")</f>
        <v>Medium HP</v>
      </c>
      <c r="K140" s="10" t="s">
        <v>43</v>
      </c>
      <c r="L140" s="10">
        <v>23</v>
      </c>
      <c r="M140" s="10">
        <v>55.29711658</v>
      </c>
      <c r="N140" s="10">
        <v>103.3</v>
      </c>
      <c r="O140" s="10">
        <v>66.5</v>
      </c>
      <c r="P140" s="10">
        <v>178.7</v>
      </c>
      <c r="Q140" s="10">
        <v>2.58</v>
      </c>
      <c r="R140" s="10">
        <v>15.1</v>
      </c>
      <c r="S140" s="11">
        <v>40756</v>
      </c>
    </row>
    <row r="141" spans="1:19">
      <c r="A141" s="5" t="s">
        <v>181</v>
      </c>
      <c r="B141" s="6" t="s">
        <v>187</v>
      </c>
      <c r="C141" s="7">
        <v>65119</v>
      </c>
      <c r="D141" s="8">
        <v>22368</v>
      </c>
      <c r="E141" s="8">
        <v>18689</v>
      </c>
      <c r="F141" s="9">
        <f t="shared" si="4"/>
        <v>0.835523962804006</v>
      </c>
      <c r="G141" s="9" t="str">
        <f t="shared" si="5"/>
        <v>GOOD</v>
      </c>
      <c r="H141" s="10">
        <v>3</v>
      </c>
      <c r="I141" s="10">
        <v>194</v>
      </c>
      <c r="J141" s="10" t="str" cm="1">
        <f t="array" ref="J141">_xlfn.IFS(I141&gt;299,"High HP",I141&gt;99,"Medium HP",I141&lt;100,"Low HP")</f>
        <v>Medium HP</v>
      </c>
      <c r="K141" s="10" t="s">
        <v>43</v>
      </c>
      <c r="L141" s="10">
        <v>22</v>
      </c>
      <c r="M141" s="10">
        <v>78.02721947</v>
      </c>
      <c r="N141" s="10">
        <v>114.2</v>
      </c>
      <c r="O141" s="10">
        <v>73.4</v>
      </c>
      <c r="P141" s="10">
        <v>193.5</v>
      </c>
      <c r="Q141" s="10">
        <v>3.759</v>
      </c>
      <c r="R141" s="10">
        <v>20.9</v>
      </c>
      <c r="S141" s="11">
        <v>41187</v>
      </c>
    </row>
    <row r="142" spans="1:19">
      <c r="A142" s="5" t="s">
        <v>181</v>
      </c>
      <c r="B142" s="6" t="s">
        <v>188</v>
      </c>
      <c r="C142" s="7">
        <v>25106</v>
      </c>
      <c r="D142" s="8">
        <v>16888</v>
      </c>
      <c r="E142" s="8">
        <v>13325</v>
      </c>
      <c r="F142" s="9">
        <f t="shared" si="4"/>
        <v>0.789021790620559</v>
      </c>
      <c r="G142" s="9" t="str">
        <f t="shared" si="5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43</v>
      </c>
      <c r="L142" s="10">
        <v>27</v>
      </c>
      <c r="M142" s="10">
        <v>51.95510887</v>
      </c>
      <c r="N142" s="10">
        <v>94.9</v>
      </c>
      <c r="O142" s="10">
        <v>66.7</v>
      </c>
      <c r="P142" s="10">
        <v>163.8</v>
      </c>
      <c r="Q142" s="10">
        <v>2.668</v>
      </c>
      <c r="R142" s="10">
        <v>15.3</v>
      </c>
      <c r="S142" s="11">
        <v>40669</v>
      </c>
    </row>
    <row r="143" spans="1:19">
      <c r="A143" s="5" t="s">
        <v>181</v>
      </c>
      <c r="B143" s="6" t="s">
        <v>189</v>
      </c>
      <c r="C143" s="7">
        <v>68411</v>
      </c>
      <c r="D143" s="8">
        <v>22288</v>
      </c>
      <c r="E143" s="8">
        <v>19425</v>
      </c>
      <c r="F143" s="9">
        <f t="shared" si="4"/>
        <v>0.871545226130653</v>
      </c>
      <c r="G143" s="9" t="str">
        <f t="shared" si="5"/>
        <v>GOOD</v>
      </c>
      <c r="H143" s="10">
        <v>2.7</v>
      </c>
      <c r="I143" s="10">
        <v>150</v>
      </c>
      <c r="J143" s="10" t="str" cm="1">
        <f t="array" ref="J143">_xlfn.IFS(I143&gt;299,"High HP",I143&gt;99,"Medium HP",I143&lt;100,"Low HP")</f>
        <v>Medium HP</v>
      </c>
      <c r="K143" s="10" t="s">
        <v>43</v>
      </c>
      <c r="L143" s="10">
        <v>23</v>
      </c>
      <c r="M143" s="10">
        <v>62.35557713</v>
      </c>
      <c r="N143" s="10">
        <v>105.3</v>
      </c>
      <c r="O143" s="10">
        <v>66.5</v>
      </c>
      <c r="P143" s="10">
        <v>183.3</v>
      </c>
      <c r="Q143" s="10">
        <v>3.44</v>
      </c>
      <c r="R143" s="10">
        <v>18.5</v>
      </c>
      <c r="S143" s="11">
        <v>40609</v>
      </c>
    </row>
    <row r="144" spans="1:19">
      <c r="A144" s="5" t="s">
        <v>181</v>
      </c>
      <c r="B144" s="6" t="s">
        <v>190</v>
      </c>
      <c r="C144" s="7">
        <v>9835</v>
      </c>
      <c r="D144" s="8">
        <v>51728</v>
      </c>
      <c r="E144" s="8">
        <v>34080</v>
      </c>
      <c r="F144" s="9">
        <f t="shared" si="4"/>
        <v>0.658830807299722</v>
      </c>
      <c r="G144" s="9" t="str">
        <f t="shared" si="5"/>
        <v>POOR</v>
      </c>
      <c r="H144" s="10">
        <v>4.7</v>
      </c>
      <c r="I144" s="10">
        <v>230</v>
      </c>
      <c r="J144" s="10" t="str" cm="1">
        <f t="array" ref="J144">_xlfn.IFS(I144&gt;299,"High HP",I144&gt;99,"Medium HP",I144&lt;100,"Low HP")</f>
        <v>Medium HP</v>
      </c>
      <c r="K144" s="10" t="s">
        <v>43</v>
      </c>
      <c r="L144" s="10">
        <v>15</v>
      </c>
      <c r="M144" s="10">
        <v>102.5289842</v>
      </c>
      <c r="N144" s="10">
        <v>112.2</v>
      </c>
      <c r="O144" s="10">
        <v>76.4</v>
      </c>
      <c r="P144" s="10">
        <v>192.5</v>
      </c>
      <c r="Q144" s="10">
        <v>5.115</v>
      </c>
      <c r="R144" s="10">
        <v>25.4</v>
      </c>
      <c r="S144" s="11">
        <v>40811</v>
      </c>
    </row>
    <row r="145" spans="1:19">
      <c r="A145" s="5" t="s">
        <v>191</v>
      </c>
      <c r="B145" s="6" t="s">
        <v>192</v>
      </c>
      <c r="C145" s="7">
        <v>9761</v>
      </c>
      <c r="D145" s="8">
        <v>14900</v>
      </c>
      <c r="E145" s="8">
        <v>11425</v>
      </c>
      <c r="F145" s="9">
        <f t="shared" si="4"/>
        <v>0.766778523489933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21</v>
      </c>
      <c r="L145" s="10">
        <v>26</v>
      </c>
      <c r="M145" s="10">
        <v>46.94387676</v>
      </c>
      <c r="N145" s="10">
        <v>98.9</v>
      </c>
      <c r="O145" s="10">
        <v>68.3</v>
      </c>
      <c r="P145" s="10">
        <v>163.3</v>
      </c>
      <c r="Q145" s="10">
        <v>2.767</v>
      </c>
      <c r="R145" s="10">
        <v>14.5</v>
      </c>
      <c r="S145" s="11">
        <v>40567</v>
      </c>
    </row>
    <row r="146" spans="1:19">
      <c r="A146" s="5" t="s">
        <v>191</v>
      </c>
      <c r="B146" s="6" t="s">
        <v>193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21</v>
      </c>
      <c r="L146" s="10">
        <v>26</v>
      </c>
      <c r="M146" s="10">
        <v>47.63823666</v>
      </c>
      <c r="N146" s="10">
        <v>98.9</v>
      </c>
      <c r="O146" s="10">
        <v>68.3</v>
      </c>
      <c r="P146" s="10">
        <v>172.3</v>
      </c>
      <c r="Q146" s="10">
        <v>2.853</v>
      </c>
      <c r="R146" s="10">
        <v>14.5</v>
      </c>
      <c r="S146" s="11">
        <v>40782</v>
      </c>
    </row>
    <row r="147" spans="1:19">
      <c r="A147" s="5" t="s">
        <v>191</v>
      </c>
      <c r="B147" s="6" t="s">
        <v>194</v>
      </c>
      <c r="C147" s="7">
        <v>51102</v>
      </c>
      <c r="D147" s="8">
        <v>21200</v>
      </c>
      <c r="E147" s="8">
        <v>16725</v>
      </c>
      <c r="F147" s="9">
        <f t="shared" si="4"/>
        <v>0.788915094339623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21</v>
      </c>
      <c r="L147" s="10">
        <v>27</v>
      </c>
      <c r="M147" s="10">
        <v>61.70138136</v>
      </c>
      <c r="N147" s="10">
        <v>106.4</v>
      </c>
      <c r="O147" s="10">
        <v>68.5</v>
      </c>
      <c r="P147" s="10">
        <v>184.1</v>
      </c>
      <c r="Q147" s="10">
        <v>3.043</v>
      </c>
      <c r="R147" s="10">
        <v>16.4</v>
      </c>
      <c r="S147" s="11">
        <v>41212</v>
      </c>
    </row>
    <row r="148" spans="1:19">
      <c r="A148" s="5" t="s">
        <v>191</v>
      </c>
      <c r="B148" s="6" t="s">
        <v>195</v>
      </c>
      <c r="C148" s="7">
        <v>9569</v>
      </c>
      <c r="D148" s="8">
        <v>19990</v>
      </c>
      <c r="E148" s="8">
        <v>16575</v>
      </c>
      <c r="F148" s="9">
        <f t="shared" si="4"/>
        <v>0.829164582291146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21</v>
      </c>
      <c r="L148" s="10">
        <v>26</v>
      </c>
      <c r="M148" s="10">
        <v>48.90737225</v>
      </c>
      <c r="N148" s="10">
        <v>97.4</v>
      </c>
      <c r="O148" s="10">
        <v>66.7</v>
      </c>
      <c r="P148" s="10">
        <v>160.4</v>
      </c>
      <c r="Q148" s="10">
        <v>3.079</v>
      </c>
      <c r="R148" s="10">
        <v>13.7</v>
      </c>
      <c r="S148" s="11">
        <v>40694</v>
      </c>
    </row>
    <row r="149" spans="1:19">
      <c r="A149" s="5" t="s">
        <v>191</v>
      </c>
      <c r="B149" s="6" t="s">
        <v>196</v>
      </c>
      <c r="C149" s="7">
        <v>5596</v>
      </c>
      <c r="D149" s="8">
        <v>17500</v>
      </c>
      <c r="E149" s="8">
        <v>13760</v>
      </c>
      <c r="F149" s="9">
        <f t="shared" si="4"/>
        <v>0.786285714285714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21</v>
      </c>
      <c r="L149" s="10">
        <v>26</v>
      </c>
      <c r="M149" s="10">
        <v>47.94684106</v>
      </c>
      <c r="N149" s="10">
        <v>98.9</v>
      </c>
      <c r="O149" s="10">
        <v>68.3</v>
      </c>
      <c r="P149" s="10">
        <v>163.3</v>
      </c>
      <c r="Q149" s="10">
        <v>2.762</v>
      </c>
      <c r="R149" s="10">
        <v>14.6</v>
      </c>
      <c r="S149" s="11">
        <v>40634</v>
      </c>
    </row>
    <row r="150" spans="1:19">
      <c r="A150" s="5" t="s">
        <v>191</v>
      </c>
      <c r="B150" s="6" t="s">
        <v>197</v>
      </c>
      <c r="C150" s="7">
        <v>49463</v>
      </c>
      <c r="D150" s="8">
        <v>15900</v>
      </c>
      <c r="E150" s="8">
        <v>11986</v>
      </c>
      <c r="F150" s="9">
        <f t="shared" si="4"/>
        <v>0.753836477987421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21</v>
      </c>
      <c r="L150" s="10">
        <v>26</v>
      </c>
      <c r="M150" s="10">
        <v>47.32963226</v>
      </c>
      <c r="N150" s="10">
        <v>98.9</v>
      </c>
      <c r="O150" s="10">
        <v>67.9</v>
      </c>
      <c r="P150" s="10">
        <v>161.1</v>
      </c>
      <c r="Q150" s="10">
        <v>2.769</v>
      </c>
      <c r="R150" s="10">
        <v>14.5</v>
      </c>
      <c r="S150" s="11">
        <v>40836</v>
      </c>
    </row>
    <row r="151" spans="1:19">
      <c r="A151" s="5" t="s">
        <v>198</v>
      </c>
      <c r="B151" s="6" t="s">
        <v>199</v>
      </c>
      <c r="C151" s="7">
        <v>16957</v>
      </c>
      <c r="D151" s="8">
        <v>23400</v>
      </c>
      <c r="E151" s="8">
        <v>14334</v>
      </c>
      <c r="F151" s="9">
        <f t="shared" si="4"/>
        <v>0.612564102564103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21</v>
      </c>
      <c r="L151" s="10">
        <v>25</v>
      </c>
      <c r="M151" s="10">
        <v>66.1130568</v>
      </c>
      <c r="N151" s="10">
        <v>100.5</v>
      </c>
      <c r="O151" s="10">
        <v>67.6</v>
      </c>
      <c r="P151" s="10">
        <v>176.6</v>
      </c>
      <c r="Q151" s="10">
        <v>2.998</v>
      </c>
      <c r="R151" s="10">
        <v>15.8</v>
      </c>
      <c r="S151" s="11">
        <v>40592</v>
      </c>
    </row>
    <row r="152" spans="1:19">
      <c r="A152" s="5" t="s">
        <v>198</v>
      </c>
      <c r="B152" s="6" t="s">
        <v>200</v>
      </c>
      <c r="C152" s="7">
        <v>3545</v>
      </c>
      <c r="D152" s="8">
        <v>24400</v>
      </c>
      <c r="E152" s="8">
        <v>15252</v>
      </c>
      <c r="F152" s="9">
        <f t="shared" si="4"/>
        <v>0.625081967213115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21</v>
      </c>
      <c r="L152" s="10">
        <v>25</v>
      </c>
      <c r="M152" s="10">
        <v>66.4988123</v>
      </c>
      <c r="N152" s="10">
        <v>100.5</v>
      </c>
      <c r="O152" s="10">
        <v>67.6</v>
      </c>
      <c r="P152" s="10">
        <v>176.6</v>
      </c>
      <c r="Q152" s="10">
        <v>3.042</v>
      </c>
      <c r="R152" s="10">
        <v>15.8</v>
      </c>
      <c r="S152" s="11">
        <v>40807</v>
      </c>
    </row>
    <row r="153" spans="1:19">
      <c r="A153" s="5" t="s">
        <v>198</v>
      </c>
      <c r="B153" s="6" t="s">
        <v>201</v>
      </c>
      <c r="C153" s="7">
        <v>15245</v>
      </c>
      <c r="D153" s="8">
        <v>27500</v>
      </c>
      <c r="E153" s="8">
        <v>18900</v>
      </c>
      <c r="F153" s="9">
        <f t="shared" si="4"/>
        <v>0.687272727272727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21</v>
      </c>
      <c r="L153" s="10">
        <v>25</v>
      </c>
      <c r="M153" s="10">
        <v>70.65449545</v>
      </c>
      <c r="N153" s="10">
        <v>104.9</v>
      </c>
      <c r="O153" s="10">
        <v>69.3</v>
      </c>
      <c r="P153" s="10">
        <v>185.9</v>
      </c>
      <c r="Q153" s="10">
        <v>3.208</v>
      </c>
      <c r="R153" s="10">
        <v>17.9</v>
      </c>
      <c r="S153" s="11">
        <v>41237</v>
      </c>
    </row>
    <row r="154" spans="1:19">
      <c r="A154" s="5" t="s">
        <v>198</v>
      </c>
      <c r="B154" s="6" t="s">
        <v>202</v>
      </c>
      <c r="C154" s="7">
        <v>17531</v>
      </c>
      <c r="D154" s="8">
        <v>28800</v>
      </c>
      <c r="E154" s="8">
        <v>20223</v>
      </c>
      <c r="F154" s="9">
        <f t="shared" si="4"/>
        <v>0.7021875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21</v>
      </c>
      <c r="L154" s="10">
        <v>25</v>
      </c>
      <c r="M154" s="10">
        <v>71.1559776</v>
      </c>
      <c r="N154" s="10">
        <v>104.9</v>
      </c>
      <c r="O154" s="10">
        <v>69.3</v>
      </c>
      <c r="P154" s="10">
        <v>186.2</v>
      </c>
      <c r="Q154" s="10">
        <v>3.259</v>
      </c>
      <c r="R154" s="10">
        <v>17.9</v>
      </c>
      <c r="S154" s="11">
        <v>40719</v>
      </c>
    </row>
    <row r="155" spans="1:19">
      <c r="A155" s="5" t="s">
        <v>198</v>
      </c>
      <c r="B155" s="6" t="s">
        <v>203</v>
      </c>
      <c r="C155" s="7">
        <v>3493</v>
      </c>
      <c r="D155" s="8">
        <v>45500</v>
      </c>
      <c r="E155" s="8">
        <v>34175</v>
      </c>
      <c r="F155" s="9">
        <f t="shared" si="4"/>
        <v>0.751098901098901</v>
      </c>
      <c r="G155" s="9" t="str">
        <f t="shared" si="5"/>
        <v>GOOD</v>
      </c>
      <c r="H155" s="10">
        <v>2.3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21</v>
      </c>
      <c r="L155" s="10">
        <v>23</v>
      </c>
      <c r="M155" s="10">
        <v>101.6233572</v>
      </c>
      <c r="N155" s="10">
        <v>104.9</v>
      </c>
      <c r="O155" s="10">
        <v>71.5</v>
      </c>
      <c r="P155" s="10">
        <v>185.7</v>
      </c>
      <c r="Q155" s="10">
        <v>3.601</v>
      </c>
      <c r="R155" s="10">
        <v>18.5</v>
      </c>
      <c r="S155" s="11">
        <v>40659</v>
      </c>
    </row>
    <row r="156" spans="1:19">
      <c r="A156" s="5" t="s">
        <v>198</v>
      </c>
      <c r="B156" s="6" t="s">
        <v>204</v>
      </c>
      <c r="C156" s="7">
        <v>18969</v>
      </c>
      <c r="D156" s="8">
        <v>36000</v>
      </c>
      <c r="E156" s="8">
        <v>26403</v>
      </c>
      <c r="F156" s="9">
        <f t="shared" si="4"/>
        <v>0.733416666666667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21</v>
      </c>
      <c r="L156" s="10">
        <v>24</v>
      </c>
      <c r="M156" s="10">
        <v>85.73565451</v>
      </c>
      <c r="N156" s="10">
        <v>109.9</v>
      </c>
      <c r="O156" s="10">
        <v>72.1</v>
      </c>
      <c r="P156" s="10">
        <v>189.8</v>
      </c>
      <c r="Q156" s="10">
        <v>3.6</v>
      </c>
      <c r="R156" s="10">
        <v>21.1</v>
      </c>
      <c r="S156" s="11">
        <v>40861</v>
      </c>
    </row>
  </sheetData>
  <conditionalFormatting sqref="G2:G156">
    <cfRule type="containsText" dxfId="23" priority="5" operator="between" text="GOOD">
      <formula>NOT(ISERROR(SEARCH("GOOD",G2)))</formula>
    </cfRule>
    <cfRule type="containsText" dxfId="24" priority="3" operator="between" text="POOR">
      <formula>NOT(ISERROR(SEARCH("POOR",G2)))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3"/>
  <sheetViews>
    <sheetView topLeftCell="A2" workbookViewId="0">
      <selection activeCell="C13" sqref="C13"/>
    </sheetView>
  </sheetViews>
  <sheetFormatPr defaultColWidth="8.85714285714286" defaultRowHeight="15" outlineLevelCol="2"/>
  <cols>
    <col min="1" max="1" width="12.1428571428571" customWidth="1"/>
    <col min="2" max="2" width="23.7142857142857" style="16" customWidth="1"/>
    <col min="3" max="3" width="13.7142857142857" style="16" customWidth="1"/>
    <col min="4" max="4" width="23.8571428571429" customWidth="1"/>
    <col min="5" max="5" width="10" customWidth="1"/>
    <col min="6" max="6" width="17" customWidth="1"/>
    <col min="7" max="7" width="21.7142857142857" customWidth="1"/>
    <col min="8" max="135" width="6" customWidth="1"/>
    <col min="136" max="156" width="7" customWidth="1"/>
    <col min="157" max="157" width="11.2857142857143" customWidth="1"/>
  </cols>
  <sheetData>
    <row r="3" spans="1:3">
      <c r="A3" t="s">
        <v>205</v>
      </c>
      <c r="B3" s="16" t="s">
        <v>206</v>
      </c>
      <c r="C3" s="16" t="s">
        <v>207</v>
      </c>
    </row>
    <row r="4" spans="1:3">
      <c r="A4" s="17" t="s">
        <v>19</v>
      </c>
      <c r="B4" s="16">
        <v>21986.6666666667</v>
      </c>
      <c r="C4" s="16">
        <v>30633.3333333333</v>
      </c>
    </row>
    <row r="5" spans="1:3">
      <c r="A5" s="17" t="s">
        <v>24</v>
      </c>
      <c r="B5" s="16">
        <v>28270</v>
      </c>
      <c r="C5" s="16">
        <v>39980</v>
      </c>
    </row>
    <row r="6" spans="1:3">
      <c r="A6" s="17" t="s">
        <v>28</v>
      </c>
      <c r="B6" s="16">
        <v>29766.6666666667</v>
      </c>
      <c r="C6" s="16">
        <v>33096.6666666667</v>
      </c>
    </row>
    <row r="7" spans="1:3">
      <c r="A7" s="17" t="s">
        <v>32</v>
      </c>
      <c r="B7" s="16">
        <v>14941.25</v>
      </c>
      <c r="C7" s="16">
        <v>26781.25</v>
      </c>
    </row>
    <row r="8" spans="1:3">
      <c r="A8" s="17" t="s">
        <v>208</v>
      </c>
      <c r="B8" s="16">
        <v>23064.2307692308</v>
      </c>
      <c r="C8" s="16">
        <v>32173.4615384615</v>
      </c>
    </row>
    <row r="9" spans="2:3">
      <c r="B9"/>
      <c r="C9"/>
    </row>
    <row r="10" spans="2:3">
      <c r="B10"/>
      <c r="C10"/>
    </row>
    <row r="11" spans="2:3">
      <c r="B11"/>
      <c r="C11"/>
    </row>
    <row r="12" spans="2:3">
      <c r="B12"/>
      <c r="C12"/>
    </row>
    <row r="13" spans="2:3">
      <c r="B13"/>
      <c r="C13"/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</sheetData>
  <pageMargins left="0.7" right="0.7" top="0.75" bottom="0.75" header="0.3" footer="0.3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topLeftCell="A138" workbookViewId="0">
      <selection activeCell="K181" sqref="K181"/>
    </sheetView>
  </sheetViews>
  <sheetFormatPr defaultColWidth="9.14285714285714" defaultRowHeight="15"/>
  <cols>
    <col min="1" max="1" width="15.2857142857143" customWidth="1"/>
    <col min="2" max="2" width="15.4285714285714" customWidth="1"/>
    <col min="3" max="3" width="20.4285714285714" customWidth="1"/>
    <col min="4" max="4" width="12.7142857142857" style="2" customWidth="1"/>
    <col min="5" max="5" width="19.4285714285714" customWidth="1"/>
    <col min="6" max="6" width="14" customWidth="1"/>
    <col min="7" max="7" width="17.4285714285714" customWidth="1"/>
    <col min="8" max="8" width="13.1428571428571" customWidth="1"/>
    <col min="9" max="9" width="14" customWidth="1"/>
    <col min="10" max="10" width="11.8571428571429" customWidth="1"/>
    <col min="11" max="11" width="14.8571428571429" customWidth="1"/>
    <col min="12" max="12" width="14.7142857142857" customWidth="1"/>
    <col min="13" max="13" width="17.8571428571429" customWidth="1"/>
    <col min="14" max="14" width="13.1428571428571" hidden="1" customWidth="1"/>
    <col min="15" max="15" width="11" hidden="1" customWidth="1"/>
    <col min="16" max="16" width="6.42857142857143" hidden="1" customWidth="1"/>
    <col min="17" max="17" width="7" hidden="1" customWidth="1"/>
    <col min="18" max="18" width="12.2857142857143" hidden="1" customWidth="1"/>
    <col min="19" max="19" width="13.4285714285714" hidden="1" customWidth="1"/>
    <col min="23" max="23" width="11.2857142857143" customWidth="1"/>
    <col min="24" max="24" width="7.42857142857143" customWidth="1"/>
    <col min="25" max="25" width="11.4285714285714" customWidth="1"/>
    <col min="26" max="26" width="7.85714285714286" customWidth="1"/>
    <col min="27" max="27" width="16.4285714285714" customWidth="1"/>
  </cols>
  <sheetData>
    <row r="1" s="1" customFormat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17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18</v>
      </c>
    </row>
    <row r="2" hidden="1" spans="1:19">
      <c r="A2" s="5" t="s">
        <v>19</v>
      </c>
      <c r="B2" s="6" t="s">
        <v>20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0.76093023255814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21</v>
      </c>
      <c r="L2" s="10">
        <v>28</v>
      </c>
      <c r="M2" s="10">
        <v>58.28014952</v>
      </c>
      <c r="N2" s="10">
        <v>13.2</v>
      </c>
      <c r="O2" s="10">
        <v>101.2</v>
      </c>
      <c r="P2" s="10">
        <v>67.3</v>
      </c>
      <c r="Q2" s="10">
        <v>172.4</v>
      </c>
      <c r="R2" s="10">
        <v>2.639</v>
      </c>
      <c r="S2" s="11">
        <v>40941</v>
      </c>
    </row>
    <row r="3" hidden="1" spans="1:19">
      <c r="A3" s="5" t="s">
        <v>19</v>
      </c>
      <c r="B3" s="6" t="s">
        <v>22</v>
      </c>
      <c r="C3" s="7">
        <v>39384</v>
      </c>
      <c r="D3" s="8">
        <v>28400</v>
      </c>
      <c r="E3" s="8">
        <v>19875</v>
      </c>
      <c r="F3" s="9">
        <f t="shared" si="0"/>
        <v>0.699823943661972</v>
      </c>
      <c r="G3" s="9" t="str">
        <f t="shared" ref="G3:G66" si="1"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21</v>
      </c>
      <c r="L3" s="10">
        <v>25</v>
      </c>
      <c r="M3" s="10">
        <v>91.37077766</v>
      </c>
      <c r="N3" s="10">
        <v>17.2</v>
      </c>
      <c r="O3" s="10">
        <v>108.1</v>
      </c>
      <c r="P3" s="10">
        <v>70.3</v>
      </c>
      <c r="Q3" s="10">
        <v>192.9</v>
      </c>
      <c r="R3" s="10">
        <v>3.517</v>
      </c>
      <c r="S3" s="11">
        <v>40697</v>
      </c>
    </row>
    <row r="4" hidden="1" spans="1:19">
      <c r="A4" s="5" t="s">
        <v>19</v>
      </c>
      <c r="B4" s="6" t="s">
        <v>23</v>
      </c>
      <c r="C4" s="7">
        <v>8588</v>
      </c>
      <c r="D4" s="8">
        <v>42000</v>
      </c>
      <c r="E4" s="8">
        <v>29725</v>
      </c>
      <c r="F4" s="9">
        <f t="shared" si="0"/>
        <v>0.707738095238095</v>
      </c>
      <c r="G4" s="9" t="str">
        <f t="shared" si="1"/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21</v>
      </c>
      <c r="L4" s="10">
        <v>22</v>
      </c>
      <c r="M4" s="10">
        <v>91.38977933</v>
      </c>
      <c r="N4" s="10">
        <v>18</v>
      </c>
      <c r="O4" s="10">
        <v>114.6</v>
      </c>
      <c r="P4" s="10">
        <v>71.4</v>
      </c>
      <c r="Q4" s="10">
        <v>196.6</v>
      </c>
      <c r="R4" s="10">
        <v>3.85</v>
      </c>
      <c r="S4" s="11">
        <v>40612</v>
      </c>
    </row>
    <row r="5" hidden="1" spans="1:23">
      <c r="A5" s="5" t="s">
        <v>24</v>
      </c>
      <c r="B5" s="6" t="s">
        <v>25</v>
      </c>
      <c r="C5" s="7">
        <v>20397</v>
      </c>
      <c r="D5" s="8">
        <v>23990</v>
      </c>
      <c r="E5" s="8">
        <v>22255</v>
      </c>
      <c r="F5" s="9">
        <f t="shared" si="0"/>
        <v>0.927678199249687</v>
      </c>
      <c r="G5" s="9" t="str">
        <f t="shared" si="1"/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21</v>
      </c>
      <c r="L5" s="10">
        <v>27</v>
      </c>
      <c r="M5" s="10">
        <v>62.7776392</v>
      </c>
      <c r="N5" s="10">
        <v>16.4</v>
      </c>
      <c r="O5" s="10">
        <v>102.6</v>
      </c>
      <c r="P5" s="10">
        <v>68.2</v>
      </c>
      <c r="Q5" s="10">
        <v>178</v>
      </c>
      <c r="R5" s="10">
        <v>2.998</v>
      </c>
      <c r="S5" s="11">
        <v>40824</v>
      </c>
      <c r="U5" s="1"/>
      <c r="W5" s="12"/>
    </row>
    <row r="6" hidden="1" spans="1:23">
      <c r="A6" s="5" t="s">
        <v>24</v>
      </c>
      <c r="B6" s="6" t="s">
        <v>26</v>
      </c>
      <c r="C6" s="7">
        <v>18780</v>
      </c>
      <c r="D6" s="8">
        <v>33950</v>
      </c>
      <c r="E6" s="8">
        <v>23555</v>
      </c>
      <c r="F6" s="9">
        <f t="shared" si="0"/>
        <v>0.693814432989691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21</v>
      </c>
      <c r="L6" s="10">
        <v>22</v>
      </c>
      <c r="M6" s="10">
        <v>84.56510502</v>
      </c>
      <c r="N6" s="10">
        <v>18.5</v>
      </c>
      <c r="O6" s="10">
        <v>108.7</v>
      </c>
      <c r="P6" s="10">
        <v>76.1</v>
      </c>
      <c r="Q6" s="10">
        <v>192</v>
      </c>
      <c r="R6" s="10">
        <v>3.561</v>
      </c>
      <c r="S6" s="11">
        <v>40764</v>
      </c>
      <c r="W6" s="12"/>
    </row>
    <row r="7" hidden="1" spans="1:23">
      <c r="A7" s="5" t="s">
        <v>24</v>
      </c>
      <c r="B7" s="6" t="s">
        <v>27</v>
      </c>
      <c r="C7" s="7">
        <v>1380</v>
      </c>
      <c r="D7" s="8">
        <v>62000</v>
      </c>
      <c r="E7" s="8">
        <v>39000</v>
      </c>
      <c r="F7" s="9">
        <f t="shared" si="0"/>
        <v>0.629032258064516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21</v>
      </c>
      <c r="L7" s="10">
        <v>21</v>
      </c>
      <c r="M7" s="10">
        <v>134.6568582</v>
      </c>
      <c r="N7" s="10">
        <v>23.7</v>
      </c>
      <c r="O7" s="10">
        <v>113</v>
      </c>
      <c r="P7" s="10">
        <v>74</v>
      </c>
      <c r="Q7" s="10">
        <v>198.2</v>
      </c>
      <c r="R7" s="10">
        <v>3.902</v>
      </c>
      <c r="S7" s="11">
        <v>40966</v>
      </c>
      <c r="W7" s="12"/>
    </row>
    <row r="8" hidden="1" spans="1:23">
      <c r="A8" s="5" t="s">
        <v>28</v>
      </c>
      <c r="B8" s="6" t="s">
        <v>29</v>
      </c>
      <c r="C8" s="7">
        <v>19747</v>
      </c>
      <c r="D8" s="8">
        <v>26990</v>
      </c>
      <c r="E8" s="8">
        <v>24500</v>
      </c>
      <c r="F8" s="9">
        <f t="shared" si="0"/>
        <v>0.907743608743979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21</v>
      </c>
      <c r="L8" s="10">
        <v>26</v>
      </c>
      <c r="M8" s="10">
        <v>71.19120671</v>
      </c>
      <c r="N8" s="10">
        <v>16.6</v>
      </c>
      <c r="O8" s="10">
        <v>107.3</v>
      </c>
      <c r="P8" s="10">
        <v>68.4</v>
      </c>
      <c r="Q8" s="10">
        <v>176</v>
      </c>
      <c r="R8" s="10">
        <v>3.179</v>
      </c>
      <c r="S8" s="11">
        <v>40722</v>
      </c>
      <c r="W8" s="12"/>
    </row>
    <row r="9" hidden="1" spans="1:23">
      <c r="A9" s="5" t="s">
        <v>28</v>
      </c>
      <c r="B9" s="6" t="s">
        <v>30</v>
      </c>
      <c r="C9" s="7">
        <v>9231</v>
      </c>
      <c r="D9" s="8">
        <v>33400</v>
      </c>
      <c r="E9" s="8">
        <v>28675</v>
      </c>
      <c r="F9" s="9">
        <f t="shared" si="0"/>
        <v>0.858532934131736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21</v>
      </c>
      <c r="L9" s="10">
        <v>24</v>
      </c>
      <c r="M9" s="10">
        <v>81.87706856</v>
      </c>
      <c r="N9" s="10">
        <v>16.6</v>
      </c>
      <c r="O9" s="10">
        <v>107.3</v>
      </c>
      <c r="P9" s="10">
        <v>68.5</v>
      </c>
      <c r="Q9" s="10">
        <v>176</v>
      </c>
      <c r="R9" s="10">
        <v>3.197</v>
      </c>
      <c r="S9" s="11">
        <v>40937</v>
      </c>
      <c r="W9" s="12"/>
    </row>
    <row r="10" hidden="1" spans="1:23">
      <c r="A10" s="5" t="s">
        <v>28</v>
      </c>
      <c r="B10" s="6" t="s">
        <v>31</v>
      </c>
      <c r="C10" s="7">
        <v>17527</v>
      </c>
      <c r="D10" s="8">
        <v>38900</v>
      </c>
      <c r="E10" s="8">
        <v>36125</v>
      </c>
      <c r="F10" s="9">
        <f t="shared" si="0"/>
        <v>0.92866323907455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21</v>
      </c>
      <c r="L10" s="10">
        <v>25</v>
      </c>
      <c r="M10" s="10">
        <v>83.9987238</v>
      </c>
      <c r="N10" s="10">
        <v>18.5</v>
      </c>
      <c r="O10" s="10">
        <v>111.4</v>
      </c>
      <c r="P10" s="10">
        <v>70.9</v>
      </c>
      <c r="Q10" s="10">
        <v>188</v>
      </c>
      <c r="R10" s="10">
        <v>3.472</v>
      </c>
      <c r="S10" s="11">
        <v>40637</v>
      </c>
      <c r="W10" s="12"/>
    </row>
    <row r="11" hidden="1" spans="1:23">
      <c r="A11" s="5" t="s">
        <v>32</v>
      </c>
      <c r="B11" s="6" t="s">
        <v>33</v>
      </c>
      <c r="C11" s="7">
        <v>91561</v>
      </c>
      <c r="D11" s="8">
        <v>21975</v>
      </c>
      <c r="E11" s="8">
        <v>12475</v>
      </c>
      <c r="F11" s="9">
        <f t="shared" si="0"/>
        <v>0.56769055745165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21</v>
      </c>
      <c r="L11" s="10">
        <v>25</v>
      </c>
      <c r="M11" s="10">
        <v>71.18145132</v>
      </c>
      <c r="N11" s="10">
        <v>17.5</v>
      </c>
      <c r="O11" s="10">
        <v>109</v>
      </c>
      <c r="P11" s="10">
        <v>72.7</v>
      </c>
      <c r="Q11" s="10">
        <v>194.6</v>
      </c>
      <c r="R11" s="10">
        <v>3.368</v>
      </c>
      <c r="S11" s="11">
        <v>40849</v>
      </c>
      <c r="W11" s="12"/>
    </row>
    <row r="12" hidden="1" spans="1:23">
      <c r="A12" s="5" t="s">
        <v>32</v>
      </c>
      <c r="B12" s="6" t="s">
        <v>34</v>
      </c>
      <c r="C12" s="7">
        <v>39350</v>
      </c>
      <c r="D12" s="8">
        <v>25300</v>
      </c>
      <c r="E12" s="8">
        <v>13740</v>
      </c>
      <c r="F12" s="9">
        <f t="shared" si="0"/>
        <v>0.543083003952569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21</v>
      </c>
      <c r="L12" s="10">
        <v>23</v>
      </c>
      <c r="M12" s="10">
        <v>95.63670253</v>
      </c>
      <c r="N12" s="10">
        <v>17.5</v>
      </c>
      <c r="O12" s="10">
        <v>109</v>
      </c>
      <c r="P12" s="10">
        <v>72.7</v>
      </c>
      <c r="Q12" s="10">
        <v>196.2</v>
      </c>
      <c r="R12" s="10">
        <v>3.543</v>
      </c>
      <c r="S12" s="11">
        <v>40789</v>
      </c>
      <c r="W12" s="12"/>
    </row>
    <row r="13" hidden="1" spans="1:23">
      <c r="A13" s="5" t="s">
        <v>32</v>
      </c>
      <c r="B13" s="6" t="s">
        <v>35</v>
      </c>
      <c r="C13" s="7">
        <v>27851</v>
      </c>
      <c r="D13" s="8">
        <v>31965</v>
      </c>
      <c r="E13" s="8">
        <v>20190</v>
      </c>
      <c r="F13" s="9">
        <f t="shared" si="0"/>
        <v>0.631628343500704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21</v>
      </c>
      <c r="L13" s="10">
        <v>24</v>
      </c>
      <c r="M13" s="10">
        <v>85.82840825</v>
      </c>
      <c r="N13" s="10">
        <v>18.5</v>
      </c>
      <c r="O13" s="10">
        <v>113.8</v>
      </c>
      <c r="P13" s="10">
        <v>74.7</v>
      </c>
      <c r="Q13" s="10">
        <v>206.8</v>
      </c>
      <c r="R13" s="10">
        <v>3.778</v>
      </c>
      <c r="S13" s="11">
        <v>40991</v>
      </c>
      <c r="W13" s="12"/>
    </row>
    <row r="14" hidden="1" spans="1:19">
      <c r="A14" s="5" t="s">
        <v>32</v>
      </c>
      <c r="B14" s="6" t="s">
        <v>36</v>
      </c>
      <c r="C14" s="7">
        <v>83257</v>
      </c>
      <c r="D14" s="8">
        <v>27885</v>
      </c>
      <c r="E14" s="8">
        <v>13360</v>
      </c>
      <c r="F14" s="9">
        <f t="shared" si="0"/>
        <v>0.479110632956787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21</v>
      </c>
      <c r="L14" s="10">
        <v>25</v>
      </c>
      <c r="M14" s="10">
        <v>84.25452581</v>
      </c>
      <c r="N14" s="10">
        <v>17.5</v>
      </c>
      <c r="O14" s="10">
        <v>112.2</v>
      </c>
      <c r="P14" s="10">
        <v>73.5</v>
      </c>
      <c r="Q14" s="10">
        <v>200</v>
      </c>
      <c r="R14" s="10">
        <v>3.591</v>
      </c>
      <c r="S14" s="11">
        <v>40747</v>
      </c>
    </row>
    <row r="15" hidden="1" spans="1:19">
      <c r="A15" s="5" t="s">
        <v>37</v>
      </c>
      <c r="B15" s="6" t="s">
        <v>38</v>
      </c>
      <c r="C15" s="7">
        <v>63729</v>
      </c>
      <c r="D15" s="8">
        <v>39895</v>
      </c>
      <c r="E15" s="8">
        <v>22525</v>
      </c>
      <c r="F15" s="9">
        <f t="shared" si="0"/>
        <v>0.564607093620754</v>
      </c>
      <c r="G15" s="9" t="str">
        <f t="shared" si="1"/>
        <v>POOR</v>
      </c>
      <c r="H15" s="10">
        <v>4.6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21</v>
      </c>
      <c r="L15" s="10">
        <v>22</v>
      </c>
      <c r="M15" s="10">
        <v>113.8545976</v>
      </c>
      <c r="N15" s="10">
        <v>18.5</v>
      </c>
      <c r="O15" s="10">
        <v>115.3</v>
      </c>
      <c r="P15" s="10">
        <v>74.5</v>
      </c>
      <c r="Q15" s="10">
        <v>207.2</v>
      </c>
      <c r="R15" s="10">
        <v>3.978</v>
      </c>
      <c r="S15" s="11">
        <v>40962</v>
      </c>
    </row>
    <row r="16" hidden="1" spans="1:22">
      <c r="A16" s="5" t="s">
        <v>37</v>
      </c>
      <c r="B16" s="6" t="s">
        <v>39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21</v>
      </c>
      <c r="L16" s="10">
        <v>22</v>
      </c>
      <c r="M16" s="10">
        <v>115.6213578</v>
      </c>
      <c r="N16" s="10">
        <v>18.5</v>
      </c>
      <c r="O16" s="10">
        <v>112.2</v>
      </c>
      <c r="P16" s="10">
        <v>75</v>
      </c>
      <c r="Q16" s="10">
        <v>201</v>
      </c>
      <c r="R16" s="10">
        <v>3.875</v>
      </c>
      <c r="S16" s="11">
        <v>40662</v>
      </c>
      <c r="V16" s="12"/>
    </row>
    <row r="17" hidden="1" spans="1:19">
      <c r="A17" s="5" t="s">
        <v>37</v>
      </c>
      <c r="B17" s="6" t="s">
        <v>40</v>
      </c>
      <c r="C17" s="7">
        <v>6536</v>
      </c>
      <c r="D17" s="8">
        <v>39665</v>
      </c>
      <c r="E17" s="8">
        <v>25725</v>
      </c>
      <c r="F17" s="9">
        <f t="shared" si="0"/>
        <v>0.648556662044624</v>
      </c>
      <c r="G17" s="9" t="str">
        <f t="shared" si="1"/>
        <v>POOR</v>
      </c>
      <c r="H17" s="10">
        <v>4.6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21</v>
      </c>
      <c r="L17" s="10">
        <v>22</v>
      </c>
      <c r="M17" s="10">
        <v>113.7658739</v>
      </c>
      <c r="N17" s="10">
        <v>19</v>
      </c>
      <c r="O17" s="10">
        <v>108</v>
      </c>
      <c r="P17" s="10">
        <v>75.5</v>
      </c>
      <c r="Q17" s="10">
        <v>200.6</v>
      </c>
      <c r="R17" s="10">
        <v>3.843</v>
      </c>
      <c r="S17" s="11">
        <v>40874</v>
      </c>
    </row>
    <row r="18" hidden="1" spans="1:19">
      <c r="A18" s="5" t="s">
        <v>37</v>
      </c>
      <c r="B18" s="6" t="s">
        <v>41</v>
      </c>
      <c r="C18" s="7">
        <v>11185</v>
      </c>
      <c r="D18" s="8">
        <v>31010</v>
      </c>
      <c r="E18" s="8">
        <v>18225</v>
      </c>
      <c r="F18" s="9">
        <f t="shared" si="0"/>
        <v>0.587713640761045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21</v>
      </c>
      <c r="L18" s="10">
        <v>22</v>
      </c>
      <c r="M18" s="10">
        <v>83.48309358</v>
      </c>
      <c r="N18" s="10">
        <v>18</v>
      </c>
      <c r="O18" s="10">
        <v>107.4</v>
      </c>
      <c r="P18" s="10">
        <v>70.3</v>
      </c>
      <c r="Q18" s="10">
        <v>194.8</v>
      </c>
      <c r="R18" s="10">
        <v>3.77</v>
      </c>
      <c r="S18" s="11">
        <v>40814</v>
      </c>
    </row>
    <row r="19" hidden="1" spans="1:19">
      <c r="A19" s="5" t="s">
        <v>37</v>
      </c>
      <c r="B19" s="6" t="s">
        <v>42</v>
      </c>
      <c r="C19" s="7">
        <v>14785</v>
      </c>
      <c r="D19" s="8">
        <v>46225</v>
      </c>
      <c r="E19" s="8">
        <v>31245</v>
      </c>
      <c r="F19" s="9">
        <f t="shared" si="0"/>
        <v>0.675932936722553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43</v>
      </c>
      <c r="L19" s="10">
        <v>15</v>
      </c>
      <c r="M19" s="10">
        <v>109.5091165</v>
      </c>
      <c r="N19" s="10">
        <v>30</v>
      </c>
      <c r="O19" s="10">
        <v>117.5</v>
      </c>
      <c r="P19" s="10">
        <v>77</v>
      </c>
      <c r="Q19" s="10">
        <v>201.2</v>
      </c>
      <c r="R19" s="10">
        <v>5.572</v>
      </c>
      <c r="S19" s="11">
        <v>41016</v>
      </c>
    </row>
    <row r="20" hidden="1" spans="1:19">
      <c r="A20" s="5" t="s">
        <v>44</v>
      </c>
      <c r="B20" s="6" t="s">
        <v>45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21</v>
      </c>
      <c r="L20" s="10">
        <v>27</v>
      </c>
      <c r="M20" s="10">
        <v>46.36334747</v>
      </c>
      <c r="N20" s="10">
        <v>14.3</v>
      </c>
      <c r="O20" s="10">
        <v>104.1</v>
      </c>
      <c r="P20" s="10">
        <v>67.9</v>
      </c>
      <c r="Q20" s="10">
        <v>180.9</v>
      </c>
      <c r="R20" s="10">
        <v>2.676</v>
      </c>
      <c r="S20" s="11">
        <v>40772</v>
      </c>
    </row>
    <row r="21" hidden="1" spans="1:26">
      <c r="A21" s="5" t="s">
        <v>44</v>
      </c>
      <c r="B21" s="6" t="s">
        <v>46</v>
      </c>
      <c r="C21" s="7">
        <v>135126</v>
      </c>
      <c r="D21" s="8">
        <v>16535</v>
      </c>
      <c r="E21" s="8">
        <v>11225</v>
      </c>
      <c r="F21" s="9">
        <f t="shared" si="0"/>
        <v>0.678863017840943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21</v>
      </c>
      <c r="L21" s="10">
        <v>25</v>
      </c>
      <c r="M21" s="10">
        <v>67.31446216</v>
      </c>
      <c r="N21" s="10">
        <v>15</v>
      </c>
      <c r="O21" s="10">
        <v>107</v>
      </c>
      <c r="P21" s="10">
        <v>69.4</v>
      </c>
      <c r="Q21" s="10">
        <v>190.4</v>
      </c>
      <c r="R21" s="10">
        <v>3.051</v>
      </c>
      <c r="S21" s="11">
        <v>40987</v>
      </c>
      <c r="V21" s="1"/>
      <c r="W21" s="1"/>
      <c r="X21" s="13"/>
      <c r="Y21" s="13"/>
      <c r="Z21" s="13"/>
    </row>
    <row r="22" hidden="1" spans="1:26">
      <c r="A22" s="5" t="s">
        <v>44</v>
      </c>
      <c r="B22" s="6" t="s">
        <v>47</v>
      </c>
      <c r="C22" s="7">
        <v>24629</v>
      </c>
      <c r="D22" s="8">
        <v>18890</v>
      </c>
      <c r="E22" s="8">
        <v>10310</v>
      </c>
      <c r="F22" s="9">
        <f t="shared" si="0"/>
        <v>0.54579142403388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21</v>
      </c>
      <c r="L22" s="10">
        <v>25</v>
      </c>
      <c r="M22" s="10">
        <v>69.9913956</v>
      </c>
      <c r="N22" s="10">
        <v>16.6</v>
      </c>
      <c r="O22" s="10">
        <v>107.5</v>
      </c>
      <c r="P22" s="10">
        <v>72.5</v>
      </c>
      <c r="Q22" s="10">
        <v>200.9</v>
      </c>
      <c r="R22" s="10">
        <v>3.33</v>
      </c>
      <c r="S22" s="11">
        <v>40687</v>
      </c>
      <c r="X22" s="14"/>
      <c r="Y22" s="14"/>
      <c r="Z22" s="14"/>
    </row>
    <row r="23" hidden="1" spans="1:19">
      <c r="A23" s="5" t="s">
        <v>44</v>
      </c>
      <c r="B23" s="6" t="s">
        <v>48</v>
      </c>
      <c r="C23" s="7">
        <v>42593</v>
      </c>
      <c r="D23" s="8">
        <v>19390</v>
      </c>
      <c r="E23" s="8">
        <v>11525</v>
      </c>
      <c r="F23" s="9">
        <f t="shared" si="0"/>
        <v>0.594378545642084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21</v>
      </c>
      <c r="L23" s="10">
        <v>27</v>
      </c>
      <c r="M23" s="10">
        <v>72.03091719</v>
      </c>
      <c r="N23" s="10">
        <v>17</v>
      </c>
      <c r="O23" s="10">
        <v>110.5</v>
      </c>
      <c r="P23" s="10">
        <v>72.7</v>
      </c>
      <c r="Q23" s="10">
        <v>197.9</v>
      </c>
      <c r="R23" s="10">
        <v>3.34</v>
      </c>
      <c r="S23" s="11">
        <v>40899</v>
      </c>
    </row>
    <row r="24" hidden="1" spans="1:19">
      <c r="A24" s="5" t="s">
        <v>44</v>
      </c>
      <c r="B24" s="6" t="s">
        <v>49</v>
      </c>
      <c r="C24" s="7">
        <v>26402</v>
      </c>
      <c r="D24" s="8">
        <v>24340</v>
      </c>
      <c r="E24" s="8">
        <v>13025</v>
      </c>
      <c r="F24" s="9">
        <f t="shared" si="0"/>
        <v>0.535127362366475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21</v>
      </c>
      <c r="L24" s="10">
        <v>25</v>
      </c>
      <c r="M24" s="10">
        <v>81.11854333</v>
      </c>
      <c r="N24" s="10">
        <v>16.8</v>
      </c>
      <c r="O24" s="10">
        <v>101.1</v>
      </c>
      <c r="P24" s="10">
        <v>74.1</v>
      </c>
      <c r="Q24" s="10">
        <v>193.2</v>
      </c>
      <c r="R24" s="10">
        <v>3.5</v>
      </c>
      <c r="S24" s="11">
        <v>40839</v>
      </c>
    </row>
    <row r="25" hidden="1" spans="1:19">
      <c r="A25" s="5" t="s">
        <v>44</v>
      </c>
      <c r="B25" s="6" t="s">
        <v>50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21</v>
      </c>
      <c r="L25" s="10">
        <v>22</v>
      </c>
      <c r="M25" s="10">
        <v>141.14115</v>
      </c>
      <c r="N25" s="10">
        <v>19.1</v>
      </c>
      <c r="O25" s="10">
        <v>104.5</v>
      </c>
      <c r="P25" s="10">
        <v>73.6</v>
      </c>
      <c r="Q25" s="10">
        <v>179.7</v>
      </c>
      <c r="R25" s="10">
        <v>3.21</v>
      </c>
      <c r="S25" s="11">
        <v>41041</v>
      </c>
    </row>
    <row r="26" hidden="1" spans="1:19">
      <c r="A26" s="5" t="s">
        <v>44</v>
      </c>
      <c r="B26" s="6" t="s">
        <v>51</v>
      </c>
      <c r="C26" s="7">
        <v>32299</v>
      </c>
      <c r="D26" s="8">
        <v>13960</v>
      </c>
      <c r="E26" s="8">
        <v>9125</v>
      </c>
      <c r="F26" s="9">
        <f t="shared" si="0"/>
        <v>0.65365329512894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21</v>
      </c>
      <c r="L26" s="10">
        <v>33</v>
      </c>
      <c r="M26" s="10">
        <v>48.2976361</v>
      </c>
      <c r="N26" s="10">
        <v>13.2</v>
      </c>
      <c r="O26" s="10">
        <v>97.1</v>
      </c>
      <c r="P26" s="10">
        <v>66.7</v>
      </c>
      <c r="Q26" s="10">
        <v>174.3</v>
      </c>
      <c r="R26" s="10">
        <v>2.398</v>
      </c>
      <c r="S26" s="11">
        <v>40797</v>
      </c>
    </row>
    <row r="27" hidden="1" spans="1:19">
      <c r="A27" s="5" t="s">
        <v>44</v>
      </c>
      <c r="B27" s="6" t="s">
        <v>52</v>
      </c>
      <c r="C27" s="7">
        <v>21855</v>
      </c>
      <c r="D27" s="8">
        <v>9235</v>
      </c>
      <c r="E27" s="8">
        <v>5160</v>
      </c>
      <c r="F27" s="9">
        <f t="shared" si="0"/>
        <v>0.558743909041689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21</v>
      </c>
      <c r="L27" s="10">
        <v>45</v>
      </c>
      <c r="M27" s="10">
        <v>23.27627233</v>
      </c>
      <c r="N27" s="10">
        <v>10.3</v>
      </c>
      <c r="O27" s="10">
        <v>93.1</v>
      </c>
      <c r="P27" s="10">
        <v>62.6</v>
      </c>
      <c r="Q27" s="10">
        <v>149.4</v>
      </c>
      <c r="R27" s="10">
        <v>1.895</v>
      </c>
      <c r="S27" s="11">
        <v>41012</v>
      </c>
    </row>
    <row r="28" hidden="1" spans="1:19">
      <c r="A28" s="5" t="s">
        <v>44</v>
      </c>
      <c r="B28" s="6" t="s">
        <v>53</v>
      </c>
      <c r="C28" s="7">
        <v>107995</v>
      </c>
      <c r="D28" s="8">
        <v>18890</v>
      </c>
      <c r="E28" s="8">
        <v>11550</v>
      </c>
      <c r="F28" s="9">
        <f t="shared" si="0"/>
        <v>0.611434621492853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21</v>
      </c>
      <c r="L28" s="10">
        <v>27</v>
      </c>
      <c r="M28" s="10">
        <v>71.83803944</v>
      </c>
      <c r="N28" s="10">
        <v>17</v>
      </c>
      <c r="O28" s="10">
        <v>110.5</v>
      </c>
      <c r="P28" s="10">
        <v>73</v>
      </c>
      <c r="Q28" s="10">
        <v>200</v>
      </c>
      <c r="R28" s="10">
        <v>3.389</v>
      </c>
      <c r="S28" s="11">
        <v>40712</v>
      </c>
    </row>
    <row r="29" hidden="1" spans="1:19">
      <c r="A29" s="5" t="s">
        <v>54</v>
      </c>
      <c r="B29" s="6" t="s">
        <v>55</v>
      </c>
      <c r="C29" s="7">
        <v>7854</v>
      </c>
      <c r="D29" s="8">
        <v>19840</v>
      </c>
      <c r="E29" s="8">
        <v>12360</v>
      </c>
      <c r="F29" s="9">
        <f t="shared" si="0"/>
        <v>0.622983870967742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21</v>
      </c>
      <c r="L29" s="10">
        <v>24</v>
      </c>
      <c r="M29" s="10">
        <v>65.95718396</v>
      </c>
      <c r="N29" s="10">
        <v>15.9</v>
      </c>
      <c r="O29" s="10">
        <v>103.7</v>
      </c>
      <c r="P29" s="10">
        <v>69.7</v>
      </c>
      <c r="Q29" s="10">
        <v>190.9</v>
      </c>
      <c r="R29" s="10">
        <v>2.967</v>
      </c>
      <c r="S29" s="11">
        <v>40924</v>
      </c>
    </row>
    <row r="30" hidden="1" spans="1:19">
      <c r="A30" s="5" t="s">
        <v>54</v>
      </c>
      <c r="B30" s="6" t="s">
        <v>56</v>
      </c>
      <c r="C30" s="7">
        <v>32775</v>
      </c>
      <c r="D30" s="8">
        <v>24495</v>
      </c>
      <c r="E30" s="8">
        <v>14180</v>
      </c>
      <c r="F30" s="9">
        <f t="shared" si="0"/>
        <v>0.578893651765666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21</v>
      </c>
      <c r="L30" s="10">
        <v>24</v>
      </c>
      <c r="M30" s="10">
        <v>69.52135505</v>
      </c>
      <c r="N30" s="10">
        <v>16</v>
      </c>
      <c r="O30" s="10">
        <v>106</v>
      </c>
      <c r="P30" s="10">
        <v>69.2</v>
      </c>
      <c r="Q30" s="10">
        <v>193</v>
      </c>
      <c r="R30" s="10">
        <v>3.332</v>
      </c>
      <c r="S30" s="11">
        <v>40864</v>
      </c>
    </row>
    <row r="31" hidden="1" spans="1:19">
      <c r="A31" s="5" t="s">
        <v>54</v>
      </c>
      <c r="B31" s="6" t="s">
        <v>57</v>
      </c>
      <c r="C31" s="7">
        <v>31148</v>
      </c>
      <c r="D31" s="8">
        <v>22245</v>
      </c>
      <c r="E31" s="8">
        <v>13725</v>
      </c>
      <c r="F31" s="9">
        <f t="shared" si="0"/>
        <v>0.616992582602832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21</v>
      </c>
      <c r="L31" s="10">
        <v>26</v>
      </c>
      <c r="M31" s="10">
        <v>80.02378204</v>
      </c>
      <c r="N31" s="10">
        <v>17</v>
      </c>
      <c r="O31" s="10">
        <v>113</v>
      </c>
      <c r="P31" s="10">
        <v>74.4</v>
      </c>
      <c r="Q31" s="10">
        <v>209.1</v>
      </c>
      <c r="R31" s="10">
        <v>3.452</v>
      </c>
      <c r="S31" s="11">
        <v>41066</v>
      </c>
    </row>
    <row r="32" hidden="1" spans="1:19">
      <c r="A32" s="5" t="s">
        <v>54</v>
      </c>
      <c r="B32" s="6" t="s">
        <v>58</v>
      </c>
      <c r="C32" s="7">
        <v>32306</v>
      </c>
      <c r="D32" s="8">
        <v>16480</v>
      </c>
      <c r="E32" s="8">
        <v>12640</v>
      </c>
      <c r="F32" s="9">
        <f t="shared" si="0"/>
        <v>0.766990291262136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21</v>
      </c>
      <c r="L32" s="10">
        <v>27</v>
      </c>
      <c r="M32" s="10">
        <v>53.56619987</v>
      </c>
      <c r="N32" s="10">
        <v>16</v>
      </c>
      <c r="O32" s="10">
        <v>108</v>
      </c>
      <c r="P32" s="10">
        <v>71</v>
      </c>
      <c r="Q32" s="10">
        <v>186</v>
      </c>
      <c r="R32" s="10">
        <v>2.911</v>
      </c>
      <c r="S32" s="11">
        <v>40822</v>
      </c>
    </row>
    <row r="33" hidden="1" spans="1:19">
      <c r="A33" s="5" t="s">
        <v>54</v>
      </c>
      <c r="B33" s="6" t="s">
        <v>59</v>
      </c>
      <c r="C33" s="7">
        <v>13462</v>
      </c>
      <c r="D33" s="8">
        <v>28340</v>
      </c>
      <c r="E33" s="8">
        <v>17325</v>
      </c>
      <c r="F33" s="9">
        <f t="shared" si="0"/>
        <v>0.611326746647848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21</v>
      </c>
      <c r="L33" s="10">
        <v>23</v>
      </c>
      <c r="M33" s="10">
        <v>101.3292807</v>
      </c>
      <c r="N33" s="10">
        <v>17</v>
      </c>
      <c r="O33" s="10">
        <v>113</v>
      </c>
      <c r="P33" s="10">
        <v>74.4</v>
      </c>
      <c r="Q33" s="10">
        <v>207.7</v>
      </c>
      <c r="R33" s="10">
        <v>3.564</v>
      </c>
      <c r="S33" s="11">
        <v>41037</v>
      </c>
    </row>
    <row r="34" hidden="1" spans="1:19">
      <c r="A34" s="5" t="s">
        <v>54</v>
      </c>
      <c r="B34" s="6" t="s">
        <v>60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21</v>
      </c>
      <c r="L34" s="10">
        <v>23</v>
      </c>
      <c r="M34" s="10">
        <v>101.6552441</v>
      </c>
      <c r="N34" s="10">
        <v>17</v>
      </c>
      <c r="O34" s="10">
        <v>113</v>
      </c>
      <c r="P34" s="10">
        <v>74.4</v>
      </c>
      <c r="Q34" s="10">
        <v>197.8</v>
      </c>
      <c r="R34" s="10">
        <v>3.567</v>
      </c>
      <c r="S34" s="11">
        <v>40949</v>
      </c>
    </row>
    <row r="35" hidden="1" spans="1:19">
      <c r="A35" s="5" t="s">
        <v>61</v>
      </c>
      <c r="B35" s="6" t="s">
        <v>62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21</v>
      </c>
      <c r="L35" s="10">
        <v>29</v>
      </c>
      <c r="M35" s="10">
        <v>52.08489875</v>
      </c>
      <c r="N35" s="10">
        <v>12.5</v>
      </c>
      <c r="O35" s="10">
        <v>105</v>
      </c>
      <c r="P35" s="10">
        <v>74.4</v>
      </c>
      <c r="Q35" s="10">
        <v>174.4</v>
      </c>
      <c r="R35" s="10">
        <v>2.567</v>
      </c>
      <c r="S35" s="11">
        <v>40889</v>
      </c>
    </row>
    <row r="36" hidden="1" spans="1:19">
      <c r="A36" s="5" t="s">
        <v>61</v>
      </c>
      <c r="B36" s="6" t="s">
        <v>63</v>
      </c>
      <c r="C36" s="7">
        <v>4734</v>
      </c>
      <c r="D36" s="8">
        <v>19045</v>
      </c>
      <c r="E36" s="8">
        <v>12545</v>
      </c>
      <c r="F36" s="9">
        <f t="shared" si="0"/>
        <v>0.658703071672355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21</v>
      </c>
      <c r="L36" s="10">
        <v>24</v>
      </c>
      <c r="M36" s="10">
        <v>65.65050834</v>
      </c>
      <c r="N36" s="10">
        <v>15.9</v>
      </c>
      <c r="O36" s="10">
        <v>103.7</v>
      </c>
      <c r="P36" s="10">
        <v>69.1</v>
      </c>
      <c r="Q36" s="10">
        <v>190.2</v>
      </c>
      <c r="R36" s="10">
        <v>2.879</v>
      </c>
      <c r="S36" s="11">
        <v>41091</v>
      </c>
    </row>
    <row r="37" hidden="1" spans="1:19">
      <c r="A37" s="5" t="s">
        <v>61</v>
      </c>
      <c r="B37" s="6" t="s">
        <v>64</v>
      </c>
      <c r="C37" s="7">
        <v>71186</v>
      </c>
      <c r="D37" s="8">
        <v>20230</v>
      </c>
      <c r="E37" s="8">
        <v>10185</v>
      </c>
      <c r="F37" s="9">
        <f t="shared" si="0"/>
        <v>0.503460207612457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21</v>
      </c>
      <c r="L37" s="10">
        <v>24</v>
      </c>
      <c r="M37" s="10">
        <v>67.87610784</v>
      </c>
      <c r="N37" s="10">
        <v>16</v>
      </c>
      <c r="O37" s="10">
        <v>108</v>
      </c>
      <c r="P37" s="10">
        <v>71</v>
      </c>
      <c r="Q37" s="10">
        <v>186</v>
      </c>
      <c r="R37" s="10">
        <v>3.058</v>
      </c>
      <c r="S37" s="11">
        <v>40847</v>
      </c>
    </row>
    <row r="38" hidden="1" spans="1:19">
      <c r="A38" s="5" t="s">
        <v>61</v>
      </c>
      <c r="B38" s="6" t="s">
        <v>65</v>
      </c>
      <c r="C38" s="7">
        <v>88028</v>
      </c>
      <c r="D38" s="8">
        <v>22505</v>
      </c>
      <c r="E38" s="8">
        <v>12275</v>
      </c>
      <c r="F38" s="9">
        <f t="shared" si="0"/>
        <v>0.545434347922684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21</v>
      </c>
      <c r="L38" s="10">
        <v>22</v>
      </c>
      <c r="M38" s="10">
        <v>80.83147017</v>
      </c>
      <c r="N38" s="10">
        <v>17</v>
      </c>
      <c r="O38" s="10">
        <v>113</v>
      </c>
      <c r="P38" s="10">
        <v>74.7</v>
      </c>
      <c r="Q38" s="10">
        <v>203.7</v>
      </c>
      <c r="R38" s="10">
        <v>3.489</v>
      </c>
      <c r="S38" s="11">
        <v>41062</v>
      </c>
    </row>
    <row r="39" hidden="1" spans="1:19">
      <c r="A39" s="5" t="s">
        <v>61</v>
      </c>
      <c r="B39" s="6" t="s">
        <v>66</v>
      </c>
      <c r="C39" s="7">
        <v>916</v>
      </c>
      <c r="D39" s="8">
        <v>69725</v>
      </c>
      <c r="E39" s="8">
        <v>58470</v>
      </c>
      <c r="F39" s="9">
        <f t="shared" si="0"/>
        <v>0.838580136249552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21</v>
      </c>
      <c r="L39" s="10">
        <v>16</v>
      </c>
      <c r="M39" s="10">
        <v>188.144323</v>
      </c>
      <c r="N39" s="10">
        <v>19</v>
      </c>
      <c r="O39" s="10">
        <v>96.2</v>
      </c>
      <c r="P39" s="10">
        <v>75.7</v>
      </c>
      <c r="Q39" s="10">
        <v>176.7</v>
      </c>
      <c r="R39" s="10">
        <v>3.375</v>
      </c>
      <c r="S39" s="11">
        <v>40762</v>
      </c>
    </row>
    <row r="40" hidden="1" spans="1:19">
      <c r="A40" s="5" t="s">
        <v>61</v>
      </c>
      <c r="B40" s="6" t="s">
        <v>67</v>
      </c>
      <c r="C40" s="7">
        <v>227061</v>
      </c>
      <c r="D40" s="8">
        <v>19460</v>
      </c>
      <c r="E40" s="8">
        <v>15060</v>
      </c>
      <c r="F40" s="9">
        <f t="shared" si="0"/>
        <v>0.773895169578623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43</v>
      </c>
      <c r="L40" s="10">
        <v>17</v>
      </c>
      <c r="M40" s="10">
        <v>90.21170005</v>
      </c>
      <c r="N40" s="10">
        <v>26</v>
      </c>
      <c r="O40" s="10">
        <v>138.7</v>
      </c>
      <c r="P40" s="10">
        <v>79.3</v>
      </c>
      <c r="Q40" s="10">
        <v>224.2</v>
      </c>
      <c r="R40" s="10">
        <v>4.47</v>
      </c>
      <c r="S40" s="11">
        <v>40974</v>
      </c>
    </row>
    <row r="41" hidden="1" spans="1:19">
      <c r="A41" s="5" t="s">
        <v>61</v>
      </c>
      <c r="B41" s="6" t="s">
        <v>68</v>
      </c>
      <c r="C41" s="7">
        <v>16767</v>
      </c>
      <c r="D41" s="8">
        <v>21315</v>
      </c>
      <c r="E41" s="8">
        <v>15510</v>
      </c>
      <c r="F41" s="9">
        <f t="shared" si="0"/>
        <v>0.727656579873329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43</v>
      </c>
      <c r="L41" s="10">
        <v>15</v>
      </c>
      <c r="M41" s="10">
        <v>71.13529161</v>
      </c>
      <c r="N41" s="10">
        <v>32</v>
      </c>
      <c r="O41" s="10">
        <v>109.6</v>
      </c>
      <c r="P41" s="10">
        <v>78.8</v>
      </c>
      <c r="Q41" s="10">
        <v>192.6</v>
      </c>
      <c r="R41" s="10">
        <v>4.245</v>
      </c>
      <c r="S41" s="11">
        <v>40914</v>
      </c>
    </row>
    <row r="42" hidden="1" spans="1:19">
      <c r="A42" s="5" t="s">
        <v>61</v>
      </c>
      <c r="B42" s="6" t="s">
        <v>69</v>
      </c>
      <c r="C42" s="7">
        <v>31038</v>
      </c>
      <c r="D42" s="8">
        <v>18575</v>
      </c>
      <c r="E42" s="8">
        <v>13425</v>
      </c>
      <c r="F42" s="9">
        <f t="shared" si="0"/>
        <v>0.722745625841184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43</v>
      </c>
      <c r="L42" s="10">
        <v>16</v>
      </c>
      <c r="M42" s="10">
        <v>70.07832154</v>
      </c>
      <c r="N42" s="10">
        <v>32</v>
      </c>
      <c r="O42" s="10">
        <v>127.2</v>
      </c>
      <c r="P42" s="10">
        <v>78.8</v>
      </c>
      <c r="Q42" s="10">
        <v>208.5</v>
      </c>
      <c r="R42" s="10">
        <v>4.298</v>
      </c>
      <c r="S42" s="11">
        <v>41116</v>
      </c>
    </row>
    <row r="43" hidden="1" spans="1:19">
      <c r="A43" s="5" t="s">
        <v>61</v>
      </c>
      <c r="B43" s="6" t="s">
        <v>70</v>
      </c>
      <c r="C43" s="7">
        <v>111313</v>
      </c>
      <c r="D43" s="8">
        <v>16980</v>
      </c>
      <c r="E43" s="8">
        <v>11260</v>
      </c>
      <c r="F43" s="9">
        <f t="shared" si="0"/>
        <v>0.663133097762073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43</v>
      </c>
      <c r="L43" s="10">
        <v>19</v>
      </c>
      <c r="M43" s="10">
        <v>49.64500177</v>
      </c>
      <c r="N43" s="10">
        <v>22</v>
      </c>
      <c r="O43" s="10">
        <v>131</v>
      </c>
      <c r="P43" s="10">
        <v>71.5</v>
      </c>
      <c r="Q43" s="10">
        <v>215</v>
      </c>
      <c r="R43" s="10">
        <v>3.557</v>
      </c>
      <c r="S43" s="11">
        <v>40872</v>
      </c>
    </row>
    <row r="44" hidden="1" spans="1:19">
      <c r="A44" s="5" t="s">
        <v>61</v>
      </c>
      <c r="B44" s="6" t="s">
        <v>71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43</v>
      </c>
      <c r="L44" s="10">
        <v>17</v>
      </c>
      <c r="M44" s="10">
        <v>92.85412522</v>
      </c>
      <c r="N44" s="10">
        <v>25</v>
      </c>
      <c r="O44" s="10">
        <v>115.7</v>
      </c>
      <c r="P44" s="10">
        <v>71.7</v>
      </c>
      <c r="Q44" s="10">
        <v>193.5</v>
      </c>
      <c r="R44" s="10">
        <v>4.394</v>
      </c>
      <c r="S44" s="11">
        <v>41087</v>
      </c>
    </row>
    <row r="45" hidden="1" spans="1:19">
      <c r="A45" s="5" t="s">
        <v>61</v>
      </c>
      <c r="B45" s="6" t="s">
        <v>72</v>
      </c>
      <c r="C45" s="7">
        <v>181749</v>
      </c>
      <c r="D45" s="8">
        <v>19565</v>
      </c>
      <c r="E45" s="8">
        <v>12025</v>
      </c>
      <c r="F45" s="9">
        <f t="shared" si="0"/>
        <v>0.614617940199336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43</v>
      </c>
      <c r="L45" s="10">
        <v>24</v>
      </c>
      <c r="M45" s="10">
        <v>61.22700031</v>
      </c>
      <c r="N45" s="10">
        <v>20</v>
      </c>
      <c r="O45" s="10">
        <v>113.3</v>
      </c>
      <c r="P45" s="10">
        <v>76.8</v>
      </c>
      <c r="Q45" s="10">
        <v>186.3</v>
      </c>
      <c r="R45" s="10">
        <v>3.533</v>
      </c>
      <c r="S45" s="11">
        <v>40787</v>
      </c>
    </row>
    <row r="46" hidden="1" spans="1:19">
      <c r="A46" s="5" t="s">
        <v>73</v>
      </c>
      <c r="B46" s="6" t="s">
        <v>74</v>
      </c>
      <c r="C46" s="7">
        <v>70227</v>
      </c>
      <c r="D46" s="8">
        <v>12070</v>
      </c>
      <c r="E46" s="8">
        <v>7425</v>
      </c>
      <c r="F46" s="9">
        <f t="shared" si="0"/>
        <v>0.615161557580779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21</v>
      </c>
      <c r="L46" s="10">
        <v>30</v>
      </c>
      <c r="M46" s="10">
        <v>44.08370946</v>
      </c>
      <c r="N46" s="10">
        <v>12.7</v>
      </c>
      <c r="O46" s="10">
        <v>98.4</v>
      </c>
      <c r="P46" s="10">
        <v>67</v>
      </c>
      <c r="Q46" s="10">
        <v>174.7</v>
      </c>
      <c r="R46" s="10">
        <v>2.468</v>
      </c>
      <c r="S46" s="11">
        <v>40999</v>
      </c>
    </row>
    <row r="47" hidden="1" spans="1:19">
      <c r="A47" s="5" t="s">
        <v>73</v>
      </c>
      <c r="B47" s="6" t="s">
        <v>75</v>
      </c>
      <c r="C47" s="7">
        <v>113369</v>
      </c>
      <c r="D47" s="8">
        <v>21560</v>
      </c>
      <c r="E47" s="8">
        <v>12760</v>
      </c>
      <c r="F47" s="9">
        <f t="shared" si="0"/>
        <v>0.591836734693878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21</v>
      </c>
      <c r="L47" s="10">
        <v>24</v>
      </c>
      <c r="M47" s="10">
        <v>76.50918456</v>
      </c>
      <c r="N47" s="10">
        <v>15.7</v>
      </c>
      <c r="O47" s="10">
        <v>101.3</v>
      </c>
      <c r="P47" s="10">
        <v>73.1</v>
      </c>
      <c r="Q47" s="10">
        <v>183.2</v>
      </c>
      <c r="R47" s="10">
        <v>3.203</v>
      </c>
      <c r="S47" s="11">
        <v>40939</v>
      </c>
    </row>
    <row r="48" hidden="1" spans="1:19">
      <c r="A48" s="5" t="s">
        <v>73</v>
      </c>
      <c r="B48" s="6" t="s">
        <v>76</v>
      </c>
      <c r="C48" s="7">
        <v>35068</v>
      </c>
      <c r="D48" s="8">
        <v>17035</v>
      </c>
      <c r="E48" s="8">
        <v>8835</v>
      </c>
      <c r="F48" s="9">
        <f t="shared" si="0"/>
        <v>0.518638098033461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21</v>
      </c>
      <c r="L48" s="10">
        <v>25</v>
      </c>
      <c r="M48" s="10">
        <v>67.35101072</v>
      </c>
      <c r="N48" s="10">
        <v>15</v>
      </c>
      <c r="O48" s="10">
        <v>106.5</v>
      </c>
      <c r="P48" s="10">
        <v>69.1</v>
      </c>
      <c r="Q48" s="10">
        <v>184.6</v>
      </c>
      <c r="R48" s="10">
        <v>2.769</v>
      </c>
      <c r="S48" s="11">
        <v>41141</v>
      </c>
    </row>
    <row r="49" hidden="1" spans="1:19">
      <c r="A49" s="5" t="s">
        <v>73</v>
      </c>
      <c r="B49" s="6" t="s">
        <v>77</v>
      </c>
      <c r="C49" s="7">
        <v>245815</v>
      </c>
      <c r="D49" s="8">
        <v>17885</v>
      </c>
      <c r="E49" s="8">
        <v>10055</v>
      </c>
      <c r="F49" s="9">
        <f t="shared" si="0"/>
        <v>0.562202963377132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21</v>
      </c>
      <c r="L49" s="10">
        <v>24</v>
      </c>
      <c r="M49" s="10">
        <v>62.5037395</v>
      </c>
      <c r="N49" s="10">
        <v>16</v>
      </c>
      <c r="O49" s="10">
        <v>108.5</v>
      </c>
      <c r="P49" s="10">
        <v>73</v>
      </c>
      <c r="Q49" s="10">
        <v>197.6</v>
      </c>
      <c r="R49" s="10">
        <v>3.368</v>
      </c>
      <c r="S49" s="11">
        <v>40897</v>
      </c>
    </row>
    <row r="50" hidden="1" spans="1:19">
      <c r="A50" s="5" t="s">
        <v>73</v>
      </c>
      <c r="B50" s="6" t="s">
        <v>78</v>
      </c>
      <c r="C50" s="7">
        <v>175670</v>
      </c>
      <c r="D50" s="8">
        <v>12315</v>
      </c>
      <c r="E50" s="8">
        <v>8670</v>
      </c>
      <c r="F50" s="9">
        <f t="shared" si="0"/>
        <v>0.704019488428745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21</v>
      </c>
      <c r="L50" s="10">
        <v>30</v>
      </c>
      <c r="M50" s="10">
        <v>43.11713201</v>
      </c>
      <c r="N50" s="10">
        <v>13.2</v>
      </c>
      <c r="O50" s="10">
        <v>103</v>
      </c>
      <c r="P50" s="10">
        <v>66.9</v>
      </c>
      <c r="Q50" s="10">
        <v>174.8</v>
      </c>
      <c r="R50" s="10">
        <v>2.564</v>
      </c>
      <c r="S50" s="11">
        <v>41112</v>
      </c>
    </row>
    <row r="51" hidden="1" spans="1:19">
      <c r="A51" s="5" t="s">
        <v>73</v>
      </c>
      <c r="B51" s="6" t="s">
        <v>79</v>
      </c>
      <c r="C51" s="7">
        <v>63403</v>
      </c>
      <c r="D51" s="8">
        <v>22195</v>
      </c>
      <c r="E51" s="8">
        <v>14210</v>
      </c>
      <c r="F51" s="9">
        <f t="shared" si="0"/>
        <v>0.640234287001577</v>
      </c>
      <c r="G51" s="9" t="str">
        <f t="shared" si="1"/>
        <v>POOR</v>
      </c>
      <c r="H51" s="10">
        <v>4.6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21</v>
      </c>
      <c r="L51" s="10">
        <v>21</v>
      </c>
      <c r="M51" s="10">
        <v>80.49953671</v>
      </c>
      <c r="N51" s="10">
        <v>19</v>
      </c>
      <c r="O51" s="10">
        <v>114.7</v>
      </c>
      <c r="P51" s="10">
        <v>78.2</v>
      </c>
      <c r="Q51" s="10">
        <v>212</v>
      </c>
      <c r="R51" s="10">
        <v>3.908</v>
      </c>
      <c r="S51" s="11">
        <v>40812</v>
      </c>
    </row>
    <row r="52" hidden="1" spans="1:19">
      <c r="A52" s="5" t="s">
        <v>73</v>
      </c>
      <c r="B52" s="6" t="s">
        <v>80</v>
      </c>
      <c r="C52" s="7">
        <v>276747</v>
      </c>
      <c r="D52" s="8">
        <v>31930</v>
      </c>
      <c r="E52" s="8">
        <v>16640</v>
      </c>
      <c r="F52" s="9">
        <f t="shared" si="0"/>
        <v>0.521139993736298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43</v>
      </c>
      <c r="L52" s="10">
        <v>19</v>
      </c>
      <c r="M52" s="10">
        <v>87.63549578</v>
      </c>
      <c r="N52" s="10">
        <v>21</v>
      </c>
      <c r="O52" s="10">
        <v>111.6</v>
      </c>
      <c r="P52" s="10">
        <v>70.2</v>
      </c>
      <c r="Q52" s="10">
        <v>190.7</v>
      </c>
      <c r="R52" s="10">
        <v>3.876</v>
      </c>
      <c r="S52" s="11">
        <v>41024</v>
      </c>
    </row>
    <row r="53" hidden="1" spans="1:19">
      <c r="A53" s="5" t="s">
        <v>73</v>
      </c>
      <c r="B53" s="6" t="s">
        <v>81</v>
      </c>
      <c r="C53" s="7">
        <v>155787</v>
      </c>
      <c r="D53" s="8">
        <v>21410</v>
      </c>
      <c r="E53" s="8">
        <v>13175</v>
      </c>
      <c r="F53" s="9">
        <f t="shared" si="0"/>
        <v>0.615366651097618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43</v>
      </c>
      <c r="L53" s="10">
        <v>21</v>
      </c>
      <c r="M53" s="10">
        <v>62.09504839</v>
      </c>
      <c r="N53" s="10">
        <v>26</v>
      </c>
      <c r="O53" s="10">
        <v>120.7</v>
      </c>
      <c r="P53" s="10">
        <v>76.6</v>
      </c>
      <c r="Q53" s="10">
        <v>200.9</v>
      </c>
      <c r="R53" s="10">
        <v>3.761</v>
      </c>
      <c r="S53" s="11">
        <v>40964</v>
      </c>
    </row>
    <row r="54" hidden="1" spans="1:19">
      <c r="A54" s="5" t="s">
        <v>73</v>
      </c>
      <c r="B54" s="6" t="s">
        <v>82</v>
      </c>
      <c r="C54" s="7">
        <v>125338</v>
      </c>
      <c r="D54" s="8">
        <v>36135</v>
      </c>
      <c r="E54" s="8">
        <v>23575</v>
      </c>
      <c r="F54" s="9">
        <f t="shared" si="0"/>
        <v>0.652414556524146</v>
      </c>
      <c r="G54" s="9" t="str">
        <f t="shared" si="1"/>
        <v>POOR</v>
      </c>
      <c r="H54" s="10">
        <v>4.6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43</v>
      </c>
      <c r="L54" s="10">
        <v>16</v>
      </c>
      <c r="M54" s="10">
        <v>100.0248023</v>
      </c>
      <c r="N54" s="10">
        <v>26</v>
      </c>
      <c r="O54" s="10">
        <v>119</v>
      </c>
      <c r="P54" s="10">
        <v>78.7</v>
      </c>
      <c r="Q54" s="10">
        <v>204.6</v>
      </c>
      <c r="R54" s="10">
        <v>4.808</v>
      </c>
      <c r="S54" s="11">
        <v>41166</v>
      </c>
    </row>
    <row r="55" hidden="1" spans="1:19">
      <c r="A55" s="5" t="s">
        <v>73</v>
      </c>
      <c r="B55" s="6" t="s">
        <v>83</v>
      </c>
      <c r="C55" s="7">
        <v>220650</v>
      </c>
      <c r="D55" s="8">
        <v>12050</v>
      </c>
      <c r="E55" s="8">
        <v>7850</v>
      </c>
      <c r="F55" s="9">
        <f t="shared" si="0"/>
        <v>0.651452282157676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43</v>
      </c>
      <c r="L55" s="10">
        <v>23</v>
      </c>
      <c r="M55" s="10">
        <v>47.38953131</v>
      </c>
      <c r="N55" s="10">
        <v>20</v>
      </c>
      <c r="O55" s="10">
        <v>117.5</v>
      </c>
      <c r="P55" s="10">
        <v>69.4</v>
      </c>
      <c r="Q55" s="10">
        <v>200.7</v>
      </c>
      <c r="R55" s="10">
        <v>3.086</v>
      </c>
      <c r="S55" s="11">
        <v>40922</v>
      </c>
    </row>
    <row r="56" hidden="1" spans="1:19">
      <c r="A56" s="5" t="s">
        <v>73</v>
      </c>
      <c r="B56" s="6" t="s">
        <v>84</v>
      </c>
      <c r="C56" s="7">
        <v>540561</v>
      </c>
      <c r="D56" s="8">
        <v>26935</v>
      </c>
      <c r="E56" s="8">
        <v>15075</v>
      </c>
      <c r="F56" s="9">
        <f t="shared" si="0"/>
        <v>0.559680712827177</v>
      </c>
      <c r="G56" s="9" t="str">
        <f t="shared" si="1"/>
        <v>POOR</v>
      </c>
      <c r="H56" s="10">
        <v>4.6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43</v>
      </c>
      <c r="L56" s="10">
        <v>18</v>
      </c>
      <c r="M56" s="10">
        <v>89.40193473</v>
      </c>
      <c r="N56" s="10">
        <v>25.1</v>
      </c>
      <c r="O56" s="10">
        <v>138.5</v>
      </c>
      <c r="P56" s="10">
        <v>79.1</v>
      </c>
      <c r="Q56" s="10">
        <v>224.5</v>
      </c>
      <c r="R56" s="10">
        <v>4.241</v>
      </c>
      <c r="S56" s="11">
        <v>41137</v>
      </c>
    </row>
    <row r="57" hidden="1" spans="1:19">
      <c r="A57" s="5" t="s">
        <v>85</v>
      </c>
      <c r="B57" s="6" t="s">
        <v>86</v>
      </c>
      <c r="C57" s="7">
        <v>199685</v>
      </c>
      <c r="D57" s="8">
        <v>12885</v>
      </c>
      <c r="E57" s="8">
        <v>9850</v>
      </c>
      <c r="F57" s="9">
        <f t="shared" si="0"/>
        <v>0.764454792394257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21</v>
      </c>
      <c r="L57" s="10">
        <v>32</v>
      </c>
      <c r="M57" s="10">
        <v>42.87909734</v>
      </c>
      <c r="N57" s="10">
        <v>11.9</v>
      </c>
      <c r="O57" s="10">
        <v>103.2</v>
      </c>
      <c r="P57" s="10">
        <v>67.1</v>
      </c>
      <c r="Q57" s="10">
        <v>175.1</v>
      </c>
      <c r="R57" s="10">
        <v>2.339</v>
      </c>
      <c r="S57" s="11">
        <v>40837</v>
      </c>
    </row>
    <row r="58" hidden="1" spans="1:19">
      <c r="A58" s="5" t="s">
        <v>85</v>
      </c>
      <c r="B58" s="6" t="s">
        <v>87</v>
      </c>
      <c r="C58" s="7">
        <v>230902</v>
      </c>
      <c r="D58" s="8">
        <v>15350</v>
      </c>
      <c r="E58" s="8">
        <v>13210</v>
      </c>
      <c r="F58" s="9">
        <f t="shared" si="0"/>
        <v>0.860586319218241</v>
      </c>
      <c r="G58" s="9" t="str">
        <f t="shared" si="1"/>
        <v>GOOD</v>
      </c>
      <c r="H58" s="10">
        <v>2.3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21</v>
      </c>
      <c r="L58" s="10">
        <v>27</v>
      </c>
      <c r="M58" s="10">
        <v>54.26954829</v>
      </c>
      <c r="N58" s="10">
        <v>17.1</v>
      </c>
      <c r="O58" s="10">
        <v>106.9</v>
      </c>
      <c r="P58" s="10">
        <v>70.3</v>
      </c>
      <c r="Q58" s="10">
        <v>188.8</v>
      </c>
      <c r="R58" s="10">
        <v>2.932</v>
      </c>
      <c r="S58" s="11">
        <v>41049</v>
      </c>
    </row>
    <row r="59" hidden="1" spans="1:19">
      <c r="A59" s="5" t="s">
        <v>85</v>
      </c>
      <c r="B59" s="6" t="s">
        <v>88</v>
      </c>
      <c r="C59" s="7">
        <v>73203</v>
      </c>
      <c r="D59" s="8">
        <v>20550</v>
      </c>
      <c r="E59" s="8">
        <v>17710</v>
      </c>
      <c r="F59" s="9">
        <f t="shared" si="0"/>
        <v>0.861800486618005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43</v>
      </c>
      <c r="L59" s="10">
        <v>24</v>
      </c>
      <c r="M59" s="10">
        <v>60.08796662</v>
      </c>
      <c r="N59" s="10">
        <v>15.3</v>
      </c>
      <c r="O59" s="10">
        <v>103.2</v>
      </c>
      <c r="P59" s="10">
        <v>68.9</v>
      </c>
      <c r="Q59" s="10">
        <v>177.6</v>
      </c>
      <c r="R59" s="10">
        <v>3.219</v>
      </c>
      <c r="S59" s="11">
        <v>40989</v>
      </c>
    </row>
    <row r="60" hidden="1" spans="1:19">
      <c r="A60" s="5" t="s">
        <v>85</v>
      </c>
      <c r="B60" s="6" t="s">
        <v>89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43</v>
      </c>
      <c r="L60" s="10">
        <v>19</v>
      </c>
      <c r="M60" s="10">
        <v>83.6025008</v>
      </c>
      <c r="N60" s="10">
        <v>21.1</v>
      </c>
      <c r="O60" s="10">
        <v>106.4</v>
      </c>
      <c r="P60" s="10">
        <v>70.4</v>
      </c>
      <c r="Q60" s="10">
        <v>178.2</v>
      </c>
      <c r="R60" s="10">
        <v>3.857</v>
      </c>
      <c r="S60" s="11">
        <v>41191</v>
      </c>
    </row>
    <row r="61" hidden="1" spans="1:19">
      <c r="A61" s="5" t="s">
        <v>85</v>
      </c>
      <c r="B61" s="6" t="s">
        <v>90</v>
      </c>
      <c r="C61" s="7">
        <v>76029</v>
      </c>
      <c r="D61" s="8">
        <v>26000</v>
      </c>
      <c r="E61" s="8">
        <v>19490</v>
      </c>
      <c r="F61" s="9">
        <f t="shared" si="0"/>
        <v>0.749615384615385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43</v>
      </c>
      <c r="L61" s="10">
        <v>23</v>
      </c>
      <c r="M61" s="10">
        <v>85.21769134</v>
      </c>
      <c r="N61" s="10">
        <v>20</v>
      </c>
      <c r="O61" s="10">
        <v>118.1</v>
      </c>
      <c r="P61" s="10">
        <v>75.6</v>
      </c>
      <c r="Q61" s="10">
        <v>201.2</v>
      </c>
      <c r="R61" s="10">
        <v>4.288</v>
      </c>
      <c r="S61" s="11">
        <v>40947</v>
      </c>
    </row>
    <row r="62" hidden="1" spans="1:19">
      <c r="A62" s="5" t="s">
        <v>91</v>
      </c>
      <c r="B62" s="6" t="s">
        <v>92</v>
      </c>
      <c r="C62" s="7">
        <v>41184</v>
      </c>
      <c r="D62" s="8">
        <v>9699</v>
      </c>
      <c r="E62" s="8">
        <v>5860</v>
      </c>
      <c r="F62" s="9">
        <f t="shared" si="0"/>
        <v>0.604185998556552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21</v>
      </c>
      <c r="L62" s="10">
        <v>31</v>
      </c>
      <c r="M62" s="10">
        <v>36.67228358</v>
      </c>
      <c r="N62" s="10">
        <v>11.9</v>
      </c>
      <c r="O62" s="10">
        <v>96.1</v>
      </c>
      <c r="P62" s="10">
        <v>65.7</v>
      </c>
      <c r="Q62" s="10">
        <v>166.7</v>
      </c>
      <c r="R62" s="10">
        <v>2.24</v>
      </c>
      <c r="S62" s="11">
        <v>41162</v>
      </c>
    </row>
    <row r="63" hidden="1" spans="1:19">
      <c r="A63" s="5" t="s">
        <v>91</v>
      </c>
      <c r="B63" s="6" t="s">
        <v>93</v>
      </c>
      <c r="C63" s="7">
        <v>66692</v>
      </c>
      <c r="D63" s="8">
        <v>11799</v>
      </c>
      <c r="E63" s="8">
        <v>7825</v>
      </c>
      <c r="F63" s="9">
        <f t="shared" si="0"/>
        <v>0.663191795914908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21</v>
      </c>
      <c r="L63" s="10">
        <v>27</v>
      </c>
      <c r="M63" s="10">
        <v>54.59004516</v>
      </c>
      <c r="N63" s="10">
        <v>14.5</v>
      </c>
      <c r="O63" s="10">
        <v>100.4</v>
      </c>
      <c r="P63" s="10">
        <v>66.9</v>
      </c>
      <c r="Q63" s="10">
        <v>174</v>
      </c>
      <c r="R63" s="10">
        <v>2.626</v>
      </c>
      <c r="S63" s="11">
        <v>40862</v>
      </c>
    </row>
    <row r="64" hidden="1" spans="1:19">
      <c r="A64" s="5" t="s">
        <v>91</v>
      </c>
      <c r="B64" s="6" t="s">
        <v>94</v>
      </c>
      <c r="C64" s="7">
        <v>29450</v>
      </c>
      <c r="D64" s="8">
        <v>14999</v>
      </c>
      <c r="E64" s="8">
        <v>8910</v>
      </c>
      <c r="F64" s="9">
        <f t="shared" si="0"/>
        <v>0.594039602640176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21</v>
      </c>
      <c r="L64" s="10">
        <v>25</v>
      </c>
      <c r="M64" s="10">
        <v>58.758249</v>
      </c>
      <c r="N64" s="10">
        <v>17.2</v>
      </c>
      <c r="O64" s="10">
        <v>106.3</v>
      </c>
      <c r="P64" s="10">
        <v>71.6</v>
      </c>
      <c r="Q64" s="10">
        <v>185.4</v>
      </c>
      <c r="R64" s="10">
        <v>3.072</v>
      </c>
      <c r="S64" s="11">
        <v>41074</v>
      </c>
    </row>
    <row r="65" hidden="1" spans="1:19">
      <c r="A65" s="5" t="s">
        <v>95</v>
      </c>
      <c r="B65" s="6" t="s">
        <v>96</v>
      </c>
      <c r="C65" s="7">
        <v>23713</v>
      </c>
      <c r="D65" s="8">
        <v>29465</v>
      </c>
      <c r="E65" s="8">
        <v>19690</v>
      </c>
      <c r="F65" s="9">
        <f t="shared" si="0"/>
        <v>0.668250466655354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21</v>
      </c>
      <c r="L65" s="10">
        <v>25</v>
      </c>
      <c r="M65" s="10">
        <v>92.43688923</v>
      </c>
      <c r="N65" s="10">
        <v>18.5</v>
      </c>
      <c r="O65" s="10">
        <v>108.3</v>
      </c>
      <c r="P65" s="10">
        <v>70.2</v>
      </c>
      <c r="Q65" s="10">
        <v>193.7</v>
      </c>
      <c r="R65" s="10">
        <v>3.342</v>
      </c>
      <c r="S65" s="11">
        <v>41014</v>
      </c>
    </row>
    <row r="66" hidden="1" spans="1:19">
      <c r="A66" s="5" t="s">
        <v>97</v>
      </c>
      <c r="B66" s="6" t="s">
        <v>98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21</v>
      </c>
      <c r="L66" s="10">
        <v>21</v>
      </c>
      <c r="M66" s="10">
        <v>102.1789848</v>
      </c>
      <c r="N66" s="10">
        <v>18.4</v>
      </c>
      <c r="O66" s="10">
        <v>114.5</v>
      </c>
      <c r="P66" s="10">
        <v>71.6</v>
      </c>
      <c r="Q66" s="10">
        <v>191.3</v>
      </c>
      <c r="R66" s="10">
        <v>3.65</v>
      </c>
      <c r="S66" s="11">
        <v>41216</v>
      </c>
    </row>
    <row r="67" hidden="1" spans="1:19">
      <c r="A67" s="5" t="s">
        <v>99</v>
      </c>
      <c r="B67" s="6" t="s">
        <v>100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43</v>
      </c>
      <c r="L67" s="10">
        <v>17</v>
      </c>
      <c r="M67" s="10">
        <v>48.67289791</v>
      </c>
      <c r="N67" s="10">
        <v>19</v>
      </c>
      <c r="O67" s="10">
        <v>93.4</v>
      </c>
      <c r="P67" s="10">
        <v>66.7</v>
      </c>
      <c r="Q67" s="10">
        <v>152</v>
      </c>
      <c r="R67" s="10">
        <v>3.045</v>
      </c>
      <c r="S67" s="11">
        <v>40972</v>
      </c>
    </row>
    <row r="68" hidden="1" spans="1:19">
      <c r="A68" s="5" t="s">
        <v>99</v>
      </c>
      <c r="B68" s="6" t="s">
        <v>101</v>
      </c>
      <c r="C68" s="7">
        <v>80556</v>
      </c>
      <c r="D68" s="8">
        <v>21620</v>
      </c>
      <c r="E68" s="8">
        <v>13775</v>
      </c>
      <c r="F68" s="9">
        <f t="shared" si="2"/>
        <v>0.637141535615171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43</v>
      </c>
      <c r="L68" s="10">
        <v>20</v>
      </c>
      <c r="M68" s="10">
        <v>76.58443962</v>
      </c>
      <c r="N68" s="10">
        <v>20</v>
      </c>
      <c r="O68" s="10">
        <v>101.4</v>
      </c>
      <c r="P68" s="10">
        <v>69.4</v>
      </c>
      <c r="Q68" s="10">
        <v>167.5</v>
      </c>
      <c r="R68" s="10">
        <v>3.194</v>
      </c>
      <c r="S68" s="11">
        <v>41187</v>
      </c>
    </row>
    <row r="69" hidden="1" spans="1:19">
      <c r="A69" s="5" t="s">
        <v>99</v>
      </c>
      <c r="B69" s="6" t="s">
        <v>102</v>
      </c>
      <c r="C69" s="7">
        <v>157040</v>
      </c>
      <c r="D69" s="8">
        <v>26895</v>
      </c>
      <c r="E69" s="8">
        <v>18810</v>
      </c>
      <c r="F69" s="9">
        <f t="shared" si="2"/>
        <v>0.699386503067485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43</v>
      </c>
      <c r="L69" s="10">
        <v>19</v>
      </c>
      <c r="M69" s="10">
        <v>80.38777912</v>
      </c>
      <c r="N69" s="10">
        <v>20.5</v>
      </c>
      <c r="O69" s="10">
        <v>105.9</v>
      </c>
      <c r="P69" s="10">
        <v>72.3</v>
      </c>
      <c r="Q69" s="10">
        <v>181.5</v>
      </c>
      <c r="R69" s="10">
        <v>3.88</v>
      </c>
      <c r="S69" s="11">
        <v>40887</v>
      </c>
    </row>
    <row r="70" hidden="1" spans="1:19">
      <c r="A70" s="5" t="s">
        <v>103</v>
      </c>
      <c r="B70" s="6" t="s">
        <v>104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21</v>
      </c>
      <c r="L70" s="10">
        <v>23</v>
      </c>
      <c r="M70" s="10">
        <v>87.21100104</v>
      </c>
      <c r="N70" s="10">
        <v>18.5</v>
      </c>
      <c r="O70" s="10">
        <v>105.1</v>
      </c>
      <c r="P70" s="10">
        <v>70.5</v>
      </c>
      <c r="Q70" s="10">
        <v>190.2</v>
      </c>
      <c r="R70" s="10">
        <v>3.373</v>
      </c>
      <c r="S70" s="11">
        <v>41099</v>
      </c>
    </row>
    <row r="71" hidden="1" spans="1:19">
      <c r="A71" s="5" t="s">
        <v>103</v>
      </c>
      <c r="B71" s="6" t="s">
        <v>105</v>
      </c>
      <c r="C71" s="7">
        <v>12698</v>
      </c>
      <c r="D71" s="8">
        <v>37805</v>
      </c>
      <c r="E71" s="8">
        <v>32075</v>
      </c>
      <c r="F71" s="9">
        <f t="shared" si="2"/>
        <v>0.848432746991139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21</v>
      </c>
      <c r="L71" s="10">
        <v>23</v>
      </c>
      <c r="M71" s="10">
        <v>94.9466984</v>
      </c>
      <c r="N71" s="10">
        <v>19.8</v>
      </c>
      <c r="O71" s="10">
        <v>110.2</v>
      </c>
      <c r="P71" s="10">
        <v>70.9</v>
      </c>
      <c r="Q71" s="10">
        <v>189.2</v>
      </c>
      <c r="R71" s="10">
        <v>3.638</v>
      </c>
      <c r="S71" s="11">
        <v>41039</v>
      </c>
    </row>
    <row r="72" hidden="1" spans="1:19">
      <c r="A72" s="5" t="s">
        <v>103</v>
      </c>
      <c r="B72" s="6" t="s">
        <v>106</v>
      </c>
      <c r="C72" s="7">
        <v>3334</v>
      </c>
      <c r="D72" s="8">
        <v>46305</v>
      </c>
      <c r="E72" s="8">
        <v>38955</v>
      </c>
      <c r="F72" s="9">
        <f t="shared" si="2"/>
        <v>0.841269841269841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21</v>
      </c>
      <c r="L72" s="10">
        <v>21</v>
      </c>
      <c r="M72" s="10">
        <v>125.0133574</v>
      </c>
      <c r="N72" s="10">
        <v>19.8</v>
      </c>
      <c r="O72" s="10">
        <v>110.2</v>
      </c>
      <c r="P72" s="10">
        <v>70.9</v>
      </c>
      <c r="Q72" s="10">
        <v>189.2</v>
      </c>
      <c r="R72" s="10">
        <v>3.693</v>
      </c>
      <c r="S72" s="11">
        <v>41241</v>
      </c>
    </row>
    <row r="73" hidden="1" spans="1:19">
      <c r="A73" s="5" t="s">
        <v>103</v>
      </c>
      <c r="B73" s="6" t="s">
        <v>107</v>
      </c>
      <c r="C73" s="7">
        <v>6375</v>
      </c>
      <c r="D73" s="8">
        <v>54005</v>
      </c>
      <c r="E73" s="8">
        <v>40375</v>
      </c>
      <c r="F73" s="9">
        <f t="shared" si="2"/>
        <v>0.747615961485048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21</v>
      </c>
      <c r="L73" s="10">
        <v>22</v>
      </c>
      <c r="M73" s="10">
        <v>124.4467163</v>
      </c>
      <c r="N73" s="10">
        <v>22.5</v>
      </c>
      <c r="O73" s="10">
        <v>112.2</v>
      </c>
      <c r="P73" s="10">
        <v>72</v>
      </c>
      <c r="Q73" s="10">
        <v>196.7</v>
      </c>
      <c r="R73" s="10">
        <v>3.89</v>
      </c>
      <c r="S73" s="11">
        <v>40997</v>
      </c>
    </row>
    <row r="74" hidden="1" spans="1:19">
      <c r="A74" s="5" t="s">
        <v>103</v>
      </c>
      <c r="B74" s="6" t="s">
        <v>108</v>
      </c>
      <c r="C74" s="7">
        <v>9126</v>
      </c>
      <c r="D74" s="8">
        <v>60105</v>
      </c>
      <c r="E74" s="8">
        <v>43870</v>
      </c>
      <c r="F74" s="9">
        <f t="shared" si="2"/>
        <v>0.729889360286166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43</v>
      </c>
      <c r="L74" s="10">
        <v>15</v>
      </c>
      <c r="M74" s="10">
        <v>105.760458</v>
      </c>
      <c r="N74" s="10">
        <v>25.4</v>
      </c>
      <c r="O74" s="10">
        <v>112.2</v>
      </c>
      <c r="P74" s="10">
        <v>76.4</v>
      </c>
      <c r="Q74" s="10">
        <v>192.5</v>
      </c>
      <c r="R74" s="10">
        <v>5.401</v>
      </c>
      <c r="S74" s="11">
        <v>41212</v>
      </c>
    </row>
    <row r="75" hidden="1" spans="1:19">
      <c r="A75" s="5" t="s">
        <v>103</v>
      </c>
      <c r="B75" s="6" t="s">
        <v>109</v>
      </c>
      <c r="C75" s="7">
        <v>51238</v>
      </c>
      <c r="D75" s="8">
        <v>34605</v>
      </c>
      <c r="E75" s="8">
        <v>29140</v>
      </c>
      <c r="F75" s="9">
        <f t="shared" si="2"/>
        <v>0.842074844675625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43</v>
      </c>
      <c r="L75" s="10">
        <v>21</v>
      </c>
      <c r="M75" s="10">
        <v>91.94380156</v>
      </c>
      <c r="N75" s="10">
        <v>17.2</v>
      </c>
      <c r="O75" s="10">
        <v>103</v>
      </c>
      <c r="P75" s="10">
        <v>71.5</v>
      </c>
      <c r="Q75" s="10">
        <v>180.1</v>
      </c>
      <c r="R75" s="10">
        <v>3.9</v>
      </c>
      <c r="S75" s="11">
        <v>40912</v>
      </c>
    </row>
    <row r="76" hidden="1" spans="1:19">
      <c r="A76" s="5" t="s">
        <v>110</v>
      </c>
      <c r="B76" s="6" t="s">
        <v>111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21</v>
      </c>
      <c r="L76" s="10">
        <v>22</v>
      </c>
      <c r="M76" s="10">
        <v>113.5402069</v>
      </c>
      <c r="N76" s="10">
        <v>20</v>
      </c>
      <c r="O76" s="10">
        <v>109</v>
      </c>
      <c r="P76" s="10">
        <v>73.6</v>
      </c>
      <c r="Q76" s="10">
        <v>208.5</v>
      </c>
      <c r="R76" s="10">
        <v>3.868</v>
      </c>
      <c r="S76" s="11">
        <v>41124</v>
      </c>
    </row>
    <row r="77" hidden="1" spans="1:19">
      <c r="A77" s="5" t="s">
        <v>110</v>
      </c>
      <c r="B77" s="6" t="s">
        <v>112</v>
      </c>
      <c r="C77" s="7">
        <v>48911</v>
      </c>
      <c r="D77" s="8">
        <v>43330</v>
      </c>
      <c r="E77" s="8">
        <v>21725</v>
      </c>
      <c r="F77" s="9">
        <f t="shared" si="2"/>
        <v>0.501384721901685</v>
      </c>
      <c r="G77" s="9" t="str">
        <f t="shared" si="3"/>
        <v>POOR</v>
      </c>
      <c r="H77" s="10">
        <v>4.6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21</v>
      </c>
      <c r="L77" s="10">
        <v>21</v>
      </c>
      <c r="M77" s="10">
        <v>93.9579169</v>
      </c>
      <c r="N77" s="10">
        <v>19</v>
      </c>
      <c r="O77" s="10">
        <v>117.7</v>
      </c>
      <c r="P77" s="10">
        <v>78.2</v>
      </c>
      <c r="Q77" s="10">
        <v>215.3</v>
      </c>
      <c r="R77" s="10">
        <v>4.121</v>
      </c>
      <c r="S77" s="11">
        <v>41064</v>
      </c>
    </row>
    <row r="78" hidden="1" spans="1:19">
      <c r="A78" s="5" t="s">
        <v>110</v>
      </c>
      <c r="B78" s="6" t="s">
        <v>113</v>
      </c>
      <c r="C78" s="7">
        <v>22925</v>
      </c>
      <c r="D78" s="8">
        <v>42660</v>
      </c>
      <c r="E78" s="8">
        <v>20765</v>
      </c>
      <c r="F78" s="9">
        <f t="shared" si="2"/>
        <v>0.486755743084857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43</v>
      </c>
      <c r="L78" s="10">
        <v>15</v>
      </c>
      <c r="M78" s="10">
        <v>123.9720467</v>
      </c>
      <c r="N78" s="10">
        <v>30</v>
      </c>
      <c r="O78" s="10">
        <v>119</v>
      </c>
      <c r="P78" s="10">
        <v>79.9</v>
      </c>
      <c r="Q78" s="10">
        <v>204.8</v>
      </c>
      <c r="R78" s="10">
        <v>5.393</v>
      </c>
      <c r="S78" s="11">
        <v>41266</v>
      </c>
    </row>
    <row r="79" hidden="1" spans="1:19">
      <c r="A79" s="5" t="s">
        <v>114</v>
      </c>
      <c r="B79" s="6" t="s">
        <v>115</v>
      </c>
      <c r="C79" s="7">
        <v>26232</v>
      </c>
      <c r="D79" s="8">
        <v>13987</v>
      </c>
      <c r="E79" s="8">
        <v>8325</v>
      </c>
      <c r="F79" s="9">
        <f t="shared" si="2"/>
        <v>0.595195538714521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21</v>
      </c>
      <c r="L79" s="10">
        <v>30</v>
      </c>
      <c r="M79" s="10">
        <v>45.83218056</v>
      </c>
      <c r="N79" s="10">
        <v>13.2</v>
      </c>
      <c r="O79" s="10">
        <v>98.4</v>
      </c>
      <c r="P79" s="10">
        <v>66.5</v>
      </c>
      <c r="Q79" s="10">
        <v>173.6</v>
      </c>
      <c r="R79" s="10">
        <v>2.25</v>
      </c>
      <c r="S79" s="11">
        <v>41022</v>
      </c>
    </row>
    <row r="80" hidden="1" spans="1:19">
      <c r="A80" s="5" t="s">
        <v>114</v>
      </c>
      <c r="B80" s="6" t="s">
        <v>116</v>
      </c>
      <c r="C80" s="7">
        <v>42541</v>
      </c>
      <c r="D80" s="8">
        <v>19047</v>
      </c>
      <c r="E80" s="8">
        <v>10395</v>
      </c>
      <c r="F80" s="9">
        <f t="shared" si="2"/>
        <v>0.545755237045204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21</v>
      </c>
      <c r="L80" s="10">
        <v>24</v>
      </c>
      <c r="M80" s="10">
        <v>62.44196235</v>
      </c>
      <c r="N80" s="10">
        <v>15.9</v>
      </c>
      <c r="O80" s="10">
        <v>100.8</v>
      </c>
      <c r="P80" s="10">
        <v>68.9</v>
      </c>
      <c r="Q80" s="10">
        <v>175.4</v>
      </c>
      <c r="R80" s="10">
        <v>2.91</v>
      </c>
      <c r="S80" s="11">
        <v>41237</v>
      </c>
    </row>
    <row r="81" hidden="1" spans="1:19">
      <c r="A81" s="5" t="s">
        <v>114</v>
      </c>
      <c r="B81" s="6" t="s">
        <v>117</v>
      </c>
      <c r="C81" s="7">
        <v>55616</v>
      </c>
      <c r="D81" s="8">
        <v>17357</v>
      </c>
      <c r="E81" s="8">
        <v>10595</v>
      </c>
      <c r="F81" s="9">
        <f t="shared" si="2"/>
        <v>0.610416546638244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21</v>
      </c>
      <c r="L81" s="10">
        <v>25</v>
      </c>
      <c r="M81" s="10">
        <v>58.60677292</v>
      </c>
      <c r="N81" s="10">
        <v>16.3</v>
      </c>
      <c r="O81" s="10">
        <v>103.7</v>
      </c>
      <c r="P81" s="10">
        <v>68.5</v>
      </c>
      <c r="Q81" s="10">
        <v>187.8</v>
      </c>
      <c r="R81" s="10">
        <v>2.945</v>
      </c>
      <c r="S81" s="11">
        <v>40937</v>
      </c>
    </row>
    <row r="82" hidden="1" spans="1:19">
      <c r="A82" s="5" t="s">
        <v>114</v>
      </c>
      <c r="B82" s="6" t="s">
        <v>118</v>
      </c>
      <c r="C82" s="7">
        <v>5711</v>
      </c>
      <c r="D82" s="8">
        <v>24997</v>
      </c>
      <c r="E82" s="8">
        <v>16575</v>
      </c>
      <c r="F82" s="9">
        <f t="shared" si="2"/>
        <v>0.663079569548346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21</v>
      </c>
      <c r="L82" s="10">
        <v>22</v>
      </c>
      <c r="M82" s="10">
        <v>84.83077858</v>
      </c>
      <c r="N82" s="10">
        <v>19</v>
      </c>
      <c r="O82" s="10">
        <v>107.1</v>
      </c>
      <c r="P82" s="10">
        <v>70.3</v>
      </c>
      <c r="Q82" s="10">
        <v>194.1</v>
      </c>
      <c r="R82" s="10">
        <v>3.443</v>
      </c>
      <c r="S82" s="11">
        <v>41149</v>
      </c>
    </row>
    <row r="83" hidden="1" spans="1:19">
      <c r="A83" s="5" t="s">
        <v>114</v>
      </c>
      <c r="B83" s="6" t="s">
        <v>119</v>
      </c>
      <c r="C83" s="7">
        <v>110</v>
      </c>
      <c r="D83" s="8">
        <v>25450</v>
      </c>
      <c r="E83" s="8">
        <v>20940</v>
      </c>
      <c r="F83" s="9">
        <f t="shared" si="2"/>
        <v>0.82278978388998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21</v>
      </c>
      <c r="L83" s="10">
        <v>21</v>
      </c>
      <c r="M83" s="10">
        <v>67.54415494</v>
      </c>
      <c r="N83" s="10">
        <v>19.8</v>
      </c>
      <c r="O83" s="10">
        <v>97.2</v>
      </c>
      <c r="P83" s="10">
        <v>72.4</v>
      </c>
      <c r="Q83" s="10">
        <v>180.3</v>
      </c>
      <c r="R83" s="10">
        <v>3.131</v>
      </c>
      <c r="S83" s="11">
        <v>41089</v>
      </c>
    </row>
    <row r="84" hidden="1" spans="1:19">
      <c r="A84" s="5" t="s">
        <v>114</v>
      </c>
      <c r="B84" s="6" t="s">
        <v>120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43</v>
      </c>
      <c r="L84" s="10">
        <v>18</v>
      </c>
      <c r="M84" s="10">
        <v>83.92081504</v>
      </c>
      <c r="N84" s="10">
        <v>24.3</v>
      </c>
      <c r="O84" s="10">
        <v>107.3</v>
      </c>
      <c r="P84" s="10">
        <v>69.9</v>
      </c>
      <c r="Q84" s="10">
        <v>186.6</v>
      </c>
      <c r="R84" s="10">
        <v>4.52</v>
      </c>
      <c r="S84" s="11">
        <v>40925</v>
      </c>
    </row>
    <row r="85" hidden="1" spans="1:19">
      <c r="A85" s="5" t="s">
        <v>114</v>
      </c>
      <c r="B85" s="6" t="s">
        <v>121</v>
      </c>
      <c r="C85" s="7">
        <v>39348</v>
      </c>
      <c r="D85" s="8">
        <v>22527</v>
      </c>
      <c r="E85" s="8">
        <v>13880</v>
      </c>
      <c r="F85" s="9">
        <f t="shared" si="2"/>
        <v>0.616149509477516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43</v>
      </c>
      <c r="L85" s="10">
        <v>20</v>
      </c>
      <c r="M85" s="10">
        <v>70.66094179</v>
      </c>
      <c r="N85" s="10">
        <v>19.5</v>
      </c>
      <c r="O85" s="10">
        <v>107.3</v>
      </c>
      <c r="P85" s="10">
        <v>66.7</v>
      </c>
      <c r="Q85" s="10">
        <v>178.3</v>
      </c>
      <c r="R85" s="10">
        <v>3.51</v>
      </c>
      <c r="S85" s="11">
        <v>41047</v>
      </c>
    </row>
    <row r="86" hidden="1" spans="1:19">
      <c r="A86" s="5" t="s">
        <v>122</v>
      </c>
      <c r="B86" s="6" t="s">
        <v>123</v>
      </c>
      <c r="C86" s="7">
        <v>14351</v>
      </c>
      <c r="D86" s="8">
        <v>16240</v>
      </c>
      <c r="E86" s="8">
        <v>8800</v>
      </c>
      <c r="F86" s="9">
        <f t="shared" si="2"/>
        <v>0.541871921182266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21</v>
      </c>
      <c r="L86" s="10">
        <v>28</v>
      </c>
      <c r="M86" s="10">
        <v>50.99774761</v>
      </c>
      <c r="N86" s="10">
        <v>15</v>
      </c>
      <c r="O86" s="10">
        <v>106.5</v>
      </c>
      <c r="P86" s="10">
        <v>69.1</v>
      </c>
      <c r="Q86" s="10">
        <v>184.8</v>
      </c>
      <c r="R86" s="10">
        <v>2.769</v>
      </c>
      <c r="S86" s="11">
        <v>41262</v>
      </c>
    </row>
    <row r="87" hidden="1" spans="1:19">
      <c r="A87" s="5" t="s">
        <v>122</v>
      </c>
      <c r="B87" s="6" t="s">
        <v>124</v>
      </c>
      <c r="C87" s="7">
        <v>26529</v>
      </c>
      <c r="D87" s="8">
        <v>16540</v>
      </c>
      <c r="E87" s="8">
        <v>13890</v>
      </c>
      <c r="F87" s="9">
        <f t="shared" si="2"/>
        <v>0.839782345828295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21</v>
      </c>
      <c r="L87" s="10">
        <v>30</v>
      </c>
      <c r="M87" s="10">
        <v>51.11347426</v>
      </c>
      <c r="N87" s="10">
        <v>16</v>
      </c>
      <c r="O87" s="10">
        <v>106.4</v>
      </c>
      <c r="P87" s="10">
        <v>69.6</v>
      </c>
      <c r="Q87" s="10">
        <v>185</v>
      </c>
      <c r="R87" s="10">
        <v>2.892</v>
      </c>
      <c r="S87" s="11">
        <v>40962</v>
      </c>
    </row>
    <row r="88" hidden="1" spans="1:19">
      <c r="A88" s="5" t="s">
        <v>122</v>
      </c>
      <c r="B88" s="6" t="s">
        <v>125</v>
      </c>
      <c r="C88" s="7">
        <v>67956</v>
      </c>
      <c r="D88" s="8">
        <v>19035</v>
      </c>
      <c r="E88" s="8">
        <v>11030</v>
      </c>
      <c r="F88" s="9">
        <f t="shared" si="2"/>
        <v>0.579458891515629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21</v>
      </c>
      <c r="L88" s="10">
        <v>24</v>
      </c>
      <c r="M88" s="10">
        <v>62.23996663</v>
      </c>
      <c r="N88" s="10">
        <v>16</v>
      </c>
      <c r="O88" s="10">
        <v>108.5</v>
      </c>
      <c r="P88" s="10">
        <v>73</v>
      </c>
      <c r="Q88" s="10">
        <v>199.7</v>
      </c>
      <c r="R88" s="10">
        <v>3.379</v>
      </c>
      <c r="S88" s="11">
        <v>41174</v>
      </c>
    </row>
    <row r="89" hidden="1" spans="1:19">
      <c r="A89" s="5" t="s">
        <v>122</v>
      </c>
      <c r="B89" s="6" t="s">
        <v>126</v>
      </c>
      <c r="C89" s="7">
        <v>81174</v>
      </c>
      <c r="D89" s="8">
        <v>22605</v>
      </c>
      <c r="E89" s="8">
        <v>14875</v>
      </c>
      <c r="F89" s="9">
        <f t="shared" si="2"/>
        <v>0.658040256580403</v>
      </c>
      <c r="G89" s="9" t="str">
        <f t="shared" si="3"/>
        <v>POOR</v>
      </c>
      <c r="H89" s="10">
        <v>4.6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21</v>
      </c>
      <c r="L89" s="10">
        <v>21</v>
      </c>
      <c r="M89" s="10">
        <v>80.65769646</v>
      </c>
      <c r="N89" s="10">
        <v>19</v>
      </c>
      <c r="O89" s="10">
        <v>114.7</v>
      </c>
      <c r="P89" s="10">
        <v>78.2</v>
      </c>
      <c r="Q89" s="10">
        <v>212</v>
      </c>
      <c r="R89" s="10">
        <v>3.958</v>
      </c>
      <c r="S89" s="11">
        <v>41114</v>
      </c>
    </row>
    <row r="90" hidden="1" spans="1:19">
      <c r="A90" s="5" t="s">
        <v>122</v>
      </c>
      <c r="B90" s="6" t="s">
        <v>127</v>
      </c>
      <c r="C90" s="7">
        <v>27609</v>
      </c>
      <c r="D90" s="8">
        <v>27560</v>
      </c>
      <c r="E90" s="8">
        <v>20430</v>
      </c>
      <c r="F90" s="9">
        <f t="shared" si="2"/>
        <v>0.741291727140784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43</v>
      </c>
      <c r="L90" s="10">
        <v>18</v>
      </c>
      <c r="M90" s="10">
        <v>85.94974425</v>
      </c>
      <c r="N90" s="10">
        <v>21</v>
      </c>
      <c r="O90" s="10">
        <v>111.6</v>
      </c>
      <c r="P90" s="10">
        <v>70.2</v>
      </c>
      <c r="Q90" s="10">
        <v>190.1</v>
      </c>
      <c r="R90" s="10">
        <v>3.876</v>
      </c>
      <c r="S90" s="11">
        <v>39491</v>
      </c>
    </row>
    <row r="91" hidden="1" spans="1:19">
      <c r="A91" s="5" t="s">
        <v>122</v>
      </c>
      <c r="B91" s="6" t="s">
        <v>128</v>
      </c>
      <c r="C91" s="7">
        <v>20380</v>
      </c>
      <c r="D91" s="8">
        <v>22510</v>
      </c>
      <c r="E91" s="8">
        <v>14795</v>
      </c>
      <c r="F91" s="9">
        <f t="shared" si="2"/>
        <v>0.65726343847179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43</v>
      </c>
      <c r="L91" s="10">
        <v>21</v>
      </c>
      <c r="M91" s="10">
        <v>69.671461</v>
      </c>
      <c r="N91" s="10">
        <v>20</v>
      </c>
      <c r="O91" s="10">
        <v>112.2</v>
      </c>
      <c r="P91" s="10">
        <v>74.9</v>
      </c>
      <c r="Q91" s="10">
        <v>194.7</v>
      </c>
      <c r="R91" s="10">
        <v>3.944</v>
      </c>
      <c r="S91" s="11">
        <v>40106</v>
      </c>
    </row>
    <row r="92" hidden="1" spans="1:19">
      <c r="A92" s="5" t="s">
        <v>129</v>
      </c>
      <c r="B92" s="6" t="s">
        <v>130</v>
      </c>
      <c r="C92" s="7">
        <v>18392</v>
      </c>
      <c r="D92" s="8">
        <v>31750</v>
      </c>
      <c r="E92" s="8">
        <v>26050</v>
      </c>
      <c r="F92" s="9">
        <f t="shared" si="2"/>
        <v>0.820472440944882</v>
      </c>
      <c r="G92" s="9" t="str">
        <f t="shared" si="3"/>
        <v>GOOD</v>
      </c>
      <c r="H92" s="10">
        <v>2.3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21</v>
      </c>
      <c r="L92" s="10">
        <v>26</v>
      </c>
      <c r="M92" s="10">
        <v>78.28073088</v>
      </c>
      <c r="N92" s="10">
        <v>16.4</v>
      </c>
      <c r="O92" s="10">
        <v>105.9</v>
      </c>
      <c r="P92" s="10">
        <v>67.7</v>
      </c>
      <c r="Q92" s="10">
        <v>177.4</v>
      </c>
      <c r="R92" s="10">
        <v>3.25</v>
      </c>
      <c r="S92" s="11">
        <v>40657</v>
      </c>
    </row>
    <row r="93" hidden="1" spans="1:19">
      <c r="A93" s="5" t="s">
        <v>129</v>
      </c>
      <c r="B93" s="6" t="s">
        <v>131</v>
      </c>
      <c r="C93" s="7">
        <v>27602</v>
      </c>
      <c r="D93" s="8">
        <v>49900</v>
      </c>
      <c r="E93" s="8">
        <v>41450</v>
      </c>
      <c r="F93" s="9">
        <f t="shared" si="2"/>
        <v>0.830661322645291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21</v>
      </c>
      <c r="L93" s="10">
        <v>25</v>
      </c>
      <c r="M93" s="10">
        <v>98.2497375</v>
      </c>
      <c r="N93" s="10">
        <v>21.1</v>
      </c>
      <c r="O93" s="10">
        <v>111.5</v>
      </c>
      <c r="P93" s="10">
        <v>70.8</v>
      </c>
      <c r="Q93" s="10">
        <v>189.4</v>
      </c>
      <c r="R93" s="10">
        <v>3.823</v>
      </c>
      <c r="S93" s="11">
        <v>40736</v>
      </c>
    </row>
    <row r="94" hidden="1" spans="1:19">
      <c r="A94" s="5" t="s">
        <v>129</v>
      </c>
      <c r="B94" s="6" t="s">
        <v>132</v>
      </c>
      <c r="C94" s="7">
        <v>16774</v>
      </c>
      <c r="D94" s="8">
        <v>69700</v>
      </c>
      <c r="E94" s="8">
        <v>50375</v>
      </c>
      <c r="F94" s="9">
        <f t="shared" si="2"/>
        <v>0.722740315638451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21</v>
      </c>
      <c r="L94" s="10">
        <v>21</v>
      </c>
      <c r="M94" s="10">
        <v>125.2738757</v>
      </c>
      <c r="N94" s="10">
        <v>23.2</v>
      </c>
      <c r="O94" s="10">
        <v>121.5</v>
      </c>
      <c r="P94" s="10">
        <v>73.1</v>
      </c>
      <c r="Q94" s="10">
        <v>203.1</v>
      </c>
      <c r="R94" s="10">
        <v>4.133</v>
      </c>
      <c r="S94" s="11">
        <v>40707</v>
      </c>
    </row>
    <row r="95" hidden="1" spans="1:19">
      <c r="A95" s="5" t="s">
        <v>129</v>
      </c>
      <c r="B95" s="6" t="s">
        <v>133</v>
      </c>
      <c r="C95" s="7">
        <v>3311</v>
      </c>
      <c r="D95" s="8">
        <v>82600</v>
      </c>
      <c r="E95" s="8">
        <v>58600</v>
      </c>
      <c r="F95" s="9">
        <f t="shared" si="2"/>
        <v>0.709443099273608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21</v>
      </c>
      <c r="L95" s="10">
        <v>20</v>
      </c>
      <c r="M95" s="10">
        <v>139.9822936</v>
      </c>
      <c r="N95" s="10">
        <v>21.1</v>
      </c>
      <c r="O95" s="10">
        <v>99</v>
      </c>
      <c r="P95" s="10">
        <v>71.3</v>
      </c>
      <c r="Q95" s="10">
        <v>177.1</v>
      </c>
      <c r="R95" s="10">
        <v>4.125</v>
      </c>
      <c r="S95" s="11">
        <v>40619</v>
      </c>
    </row>
    <row r="96" hidden="1" spans="1:19">
      <c r="A96" s="5" t="s">
        <v>129</v>
      </c>
      <c r="B96" s="6" t="s">
        <v>134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2.3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21</v>
      </c>
      <c r="L96" s="10">
        <v>26</v>
      </c>
      <c r="M96" s="10">
        <v>82.80736193</v>
      </c>
      <c r="N96" s="10">
        <v>15.9</v>
      </c>
      <c r="O96" s="10">
        <v>94.5</v>
      </c>
      <c r="P96" s="10">
        <v>67.5</v>
      </c>
      <c r="Q96" s="10">
        <v>157.9</v>
      </c>
      <c r="R96" s="10">
        <v>3.055</v>
      </c>
      <c r="S96" s="11">
        <v>40559</v>
      </c>
    </row>
    <row r="97" hidden="1" spans="1:19">
      <c r="A97" s="5" t="s">
        <v>129</v>
      </c>
      <c r="B97" s="6" t="s">
        <v>135</v>
      </c>
      <c r="C97" s="7">
        <v>1526</v>
      </c>
      <c r="D97" s="8">
        <v>41000</v>
      </c>
      <c r="E97" s="8">
        <v>28635</v>
      </c>
      <c r="F97" s="9">
        <f t="shared" si="2"/>
        <v>0.698414634146341</v>
      </c>
      <c r="G97" s="9" t="str">
        <f t="shared" si="3"/>
        <v>GOOD</v>
      </c>
      <c r="H97" s="10">
        <v>2.3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21</v>
      </c>
      <c r="L97" s="10">
        <v>27</v>
      </c>
      <c r="M97" s="10">
        <v>81.84896924</v>
      </c>
      <c r="N97" s="10">
        <v>14</v>
      </c>
      <c r="O97" s="10">
        <v>94.5</v>
      </c>
      <c r="P97" s="10">
        <v>67.5</v>
      </c>
      <c r="Q97" s="10">
        <v>157.3</v>
      </c>
      <c r="R97" s="10">
        <v>2.975</v>
      </c>
      <c r="S97" s="11">
        <v>40761</v>
      </c>
    </row>
    <row r="98" hidden="1" spans="1:19">
      <c r="A98" s="5" t="s">
        <v>129</v>
      </c>
      <c r="B98" s="6" t="s">
        <v>136</v>
      </c>
      <c r="C98" s="7">
        <v>11592</v>
      </c>
      <c r="D98" s="8">
        <v>41600</v>
      </c>
      <c r="E98" s="8">
        <v>29200</v>
      </c>
      <c r="F98" s="9">
        <f t="shared" si="2"/>
        <v>0.701923076923077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21</v>
      </c>
      <c r="L98" s="10">
        <v>26</v>
      </c>
      <c r="M98" s="10">
        <v>92.92579177</v>
      </c>
      <c r="N98" s="10">
        <v>16.4</v>
      </c>
      <c r="O98" s="10">
        <v>105.9</v>
      </c>
      <c r="P98" s="10">
        <v>67.8</v>
      </c>
      <c r="Q98" s="10">
        <v>180.3</v>
      </c>
      <c r="R98" s="10">
        <v>3.213</v>
      </c>
      <c r="S98" s="11">
        <v>40732</v>
      </c>
    </row>
    <row r="99" hidden="1" spans="1:19">
      <c r="A99" s="5" t="s">
        <v>129</v>
      </c>
      <c r="B99" s="6" t="s">
        <v>137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21</v>
      </c>
      <c r="L99" s="10">
        <v>20</v>
      </c>
      <c r="M99" s="10">
        <v>141.1009845</v>
      </c>
      <c r="N99" s="10">
        <v>23.2</v>
      </c>
      <c r="O99" s="10">
        <v>113.6</v>
      </c>
      <c r="P99" s="10">
        <v>73.1</v>
      </c>
      <c r="Q99" s="10">
        <v>196.6</v>
      </c>
      <c r="R99" s="10">
        <v>4.115</v>
      </c>
      <c r="S99" s="11">
        <v>40644</v>
      </c>
    </row>
    <row r="100" hidden="1" spans="1:19">
      <c r="A100" s="5" t="s">
        <v>129</v>
      </c>
      <c r="B100" s="6" t="s">
        <v>138</v>
      </c>
      <c r="C100" s="7">
        <v>28976</v>
      </c>
      <c r="D100" s="8">
        <v>35300</v>
      </c>
      <c r="E100" s="8">
        <v>28720</v>
      </c>
      <c r="F100" s="9">
        <f t="shared" si="2"/>
        <v>0.813597733711048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43</v>
      </c>
      <c r="L100" s="10">
        <v>20</v>
      </c>
      <c r="M100" s="10">
        <v>90.49553213</v>
      </c>
      <c r="N100" s="10">
        <v>19</v>
      </c>
      <c r="O100" s="10">
        <v>111</v>
      </c>
      <c r="P100" s="10">
        <v>72.2</v>
      </c>
      <c r="Q100" s="10">
        <v>180.6</v>
      </c>
      <c r="R100" s="10">
        <v>4.387</v>
      </c>
      <c r="S100" s="11">
        <v>40584</v>
      </c>
    </row>
    <row r="101" hidden="1" spans="1:19">
      <c r="A101" s="5" t="s">
        <v>139</v>
      </c>
      <c r="B101" s="6" t="s">
        <v>140</v>
      </c>
      <c r="C101" s="7">
        <v>42643</v>
      </c>
      <c r="D101" s="8">
        <v>13499</v>
      </c>
      <c r="E101" s="8">
        <v>8450</v>
      </c>
      <c r="F101" s="9">
        <f t="shared" si="2"/>
        <v>0.625972294244018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21</v>
      </c>
      <c r="L101" s="10">
        <v>30</v>
      </c>
      <c r="M101" s="10">
        <v>50.24197791</v>
      </c>
      <c r="N101" s="10">
        <v>13.2</v>
      </c>
      <c r="O101" s="10">
        <v>99.8</v>
      </c>
      <c r="P101" s="10">
        <v>67.3</v>
      </c>
      <c r="Q101" s="10">
        <v>177.5</v>
      </c>
      <c r="R101" s="10">
        <v>2.593</v>
      </c>
      <c r="S101" s="11">
        <v>40786</v>
      </c>
    </row>
    <row r="102" hidden="1" spans="1:19">
      <c r="A102" s="5" t="s">
        <v>139</v>
      </c>
      <c r="B102" s="6" t="s">
        <v>141</v>
      </c>
      <c r="C102" s="7">
        <v>88094</v>
      </c>
      <c r="D102" s="8">
        <v>20390</v>
      </c>
      <c r="E102" s="8">
        <v>11295</v>
      </c>
      <c r="F102" s="9">
        <f t="shared" si="2"/>
        <v>0.553948013732222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21</v>
      </c>
      <c r="L102" s="10">
        <v>25</v>
      </c>
      <c r="M102" s="10">
        <v>63.31372783</v>
      </c>
      <c r="N102" s="10">
        <v>15.9</v>
      </c>
      <c r="O102" s="10">
        <v>103.1</v>
      </c>
      <c r="P102" s="10">
        <v>69.1</v>
      </c>
      <c r="Q102" s="10">
        <v>183.5</v>
      </c>
      <c r="R102" s="10">
        <v>3.012</v>
      </c>
      <c r="S102" s="11">
        <v>40757</v>
      </c>
    </row>
    <row r="103" hidden="1" spans="1:19">
      <c r="A103" s="5" t="s">
        <v>139</v>
      </c>
      <c r="B103" s="6" t="s">
        <v>142</v>
      </c>
      <c r="C103" s="7">
        <v>79853</v>
      </c>
      <c r="D103" s="8">
        <v>26249</v>
      </c>
      <c r="E103" s="8">
        <v>15125</v>
      </c>
      <c r="F103" s="9">
        <f t="shared" si="2"/>
        <v>0.576212427140081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21</v>
      </c>
      <c r="L103" s="10">
        <v>25</v>
      </c>
      <c r="M103" s="10">
        <v>89.42782031</v>
      </c>
      <c r="N103" s="10">
        <v>18.5</v>
      </c>
      <c r="O103" s="10">
        <v>108.3</v>
      </c>
      <c r="P103" s="10">
        <v>70.3</v>
      </c>
      <c r="Q103" s="10">
        <v>190.5</v>
      </c>
      <c r="R103" s="10">
        <v>3.294</v>
      </c>
      <c r="S103" s="11">
        <v>40669</v>
      </c>
    </row>
    <row r="104" hidden="1" spans="1:19">
      <c r="A104" s="5" t="s">
        <v>139</v>
      </c>
      <c r="B104" s="6" t="s">
        <v>143</v>
      </c>
      <c r="C104" s="7">
        <v>27308</v>
      </c>
      <c r="D104" s="8">
        <v>26399</v>
      </c>
      <c r="E104" s="8">
        <v>15380</v>
      </c>
      <c r="F104" s="9">
        <f t="shared" si="2"/>
        <v>0.582597825675215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43</v>
      </c>
      <c r="L104" s="10">
        <v>21</v>
      </c>
      <c r="M104" s="10">
        <v>71.17166413</v>
      </c>
      <c r="N104" s="10">
        <v>20</v>
      </c>
      <c r="O104" s="10">
        <v>112.2</v>
      </c>
      <c r="P104" s="10">
        <v>74.9</v>
      </c>
      <c r="Q104" s="10">
        <v>194.8</v>
      </c>
      <c r="R104" s="10">
        <v>3.991</v>
      </c>
      <c r="S104" s="11">
        <v>40609</v>
      </c>
    </row>
    <row r="105" hidden="1" spans="1:19">
      <c r="A105" s="5" t="s">
        <v>139</v>
      </c>
      <c r="B105" s="6" t="s">
        <v>144</v>
      </c>
      <c r="C105" s="7">
        <v>42574</v>
      </c>
      <c r="D105" s="8">
        <v>29299</v>
      </c>
      <c r="E105" s="8">
        <v>17810</v>
      </c>
      <c r="F105" s="9">
        <f t="shared" si="2"/>
        <v>0.60787057578757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43</v>
      </c>
      <c r="L105" s="10">
        <v>19</v>
      </c>
      <c r="M105" s="10">
        <v>72.29035508</v>
      </c>
      <c r="N105" s="10">
        <v>21</v>
      </c>
      <c r="O105" s="10">
        <v>106.3</v>
      </c>
      <c r="P105" s="10">
        <v>71.7</v>
      </c>
      <c r="Q105" s="10">
        <v>182.6</v>
      </c>
      <c r="R105" s="10">
        <v>3.947</v>
      </c>
      <c r="S105" s="11">
        <v>40811</v>
      </c>
    </row>
    <row r="106" hidden="1" spans="1:19">
      <c r="A106" s="5" t="s">
        <v>139</v>
      </c>
      <c r="B106" s="6" t="s">
        <v>145</v>
      </c>
      <c r="C106" s="7">
        <v>54158</v>
      </c>
      <c r="D106" s="8">
        <v>22799</v>
      </c>
      <c r="E106" s="8">
        <v>13093</v>
      </c>
      <c r="F106" s="9">
        <f t="shared" si="2"/>
        <v>0.574279573665512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43</v>
      </c>
      <c r="L106" s="10">
        <v>18</v>
      </c>
      <c r="M106" s="10">
        <v>69.78294434</v>
      </c>
      <c r="N106" s="10">
        <v>19.4</v>
      </c>
      <c r="O106" s="10">
        <v>104.3</v>
      </c>
      <c r="P106" s="10">
        <v>70.4</v>
      </c>
      <c r="Q106" s="10">
        <v>178</v>
      </c>
      <c r="R106" s="10">
        <v>3.821</v>
      </c>
      <c r="S106" s="11">
        <v>40567</v>
      </c>
    </row>
    <row r="107" hidden="1" spans="1:19">
      <c r="A107" s="5" t="s">
        <v>139</v>
      </c>
      <c r="B107" s="6" t="s">
        <v>146</v>
      </c>
      <c r="C107" s="7">
        <v>65005</v>
      </c>
      <c r="D107" s="8">
        <v>17890</v>
      </c>
      <c r="E107" s="8">
        <v>10670</v>
      </c>
      <c r="F107" s="9">
        <f t="shared" si="2"/>
        <v>0.596422582448295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43</v>
      </c>
      <c r="L107" s="10">
        <v>18</v>
      </c>
      <c r="M107" s="10">
        <v>67.88927059</v>
      </c>
      <c r="N107" s="10">
        <v>19.4</v>
      </c>
      <c r="O107" s="10">
        <v>116.1</v>
      </c>
      <c r="P107" s="10">
        <v>66.5</v>
      </c>
      <c r="Q107" s="10">
        <v>196.1</v>
      </c>
      <c r="R107" s="10">
        <v>3.217</v>
      </c>
      <c r="S107" s="11">
        <v>40782</v>
      </c>
    </row>
    <row r="108" hidden="1" spans="1:19">
      <c r="A108" s="5" t="s">
        <v>147</v>
      </c>
      <c r="B108" s="6" t="s">
        <v>148</v>
      </c>
      <c r="C108" s="7">
        <v>1112</v>
      </c>
      <c r="D108" s="8">
        <v>18145</v>
      </c>
      <c r="E108" s="8">
        <v>11240</v>
      </c>
      <c r="F108" s="9">
        <f t="shared" si="2"/>
        <v>0.619454395150179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21</v>
      </c>
      <c r="L108" s="10">
        <v>25</v>
      </c>
      <c r="M108" s="10">
        <v>60.86161155</v>
      </c>
      <c r="N108" s="10">
        <v>15.2</v>
      </c>
      <c r="O108" s="10">
        <v>107</v>
      </c>
      <c r="P108" s="10">
        <v>69.4</v>
      </c>
      <c r="Q108" s="10">
        <v>192</v>
      </c>
      <c r="R108" s="10">
        <v>3.102</v>
      </c>
      <c r="S108" s="11">
        <v>40694</v>
      </c>
    </row>
    <row r="109" hidden="1" spans="1:19">
      <c r="A109" s="5" t="s">
        <v>147</v>
      </c>
      <c r="B109" s="6" t="s">
        <v>149</v>
      </c>
      <c r="C109" s="7">
        <v>38554</v>
      </c>
      <c r="D109" s="8">
        <v>24150</v>
      </c>
      <c r="E109" s="8">
        <v>17100</v>
      </c>
      <c r="F109" s="9">
        <f t="shared" si="2"/>
        <v>0.708074534161491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21</v>
      </c>
      <c r="L109" s="10">
        <v>23</v>
      </c>
      <c r="M109" s="10">
        <v>86.27252291</v>
      </c>
      <c r="N109" s="10">
        <v>18</v>
      </c>
      <c r="O109" s="10">
        <v>109</v>
      </c>
      <c r="P109" s="10">
        <v>73.6</v>
      </c>
      <c r="Q109" s="10">
        <v>195.9</v>
      </c>
      <c r="R109" s="10">
        <v>3.455</v>
      </c>
      <c r="S109" s="11">
        <v>40634</v>
      </c>
    </row>
    <row r="110" hidden="1" spans="1:19">
      <c r="A110" s="5" t="s">
        <v>147</v>
      </c>
      <c r="B110" s="6" t="s">
        <v>150</v>
      </c>
      <c r="C110" s="7">
        <v>80255</v>
      </c>
      <c r="D110" s="8">
        <v>18270</v>
      </c>
      <c r="E110" s="8">
        <v>11459</v>
      </c>
      <c r="F110" s="9">
        <f t="shared" si="2"/>
        <v>0.6272030651341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21</v>
      </c>
      <c r="L110" s="10">
        <v>27</v>
      </c>
      <c r="M110" s="10">
        <v>60.72744693</v>
      </c>
      <c r="N110" s="10">
        <v>15</v>
      </c>
      <c r="O110" s="10">
        <v>107</v>
      </c>
      <c r="P110" s="10">
        <v>70.1</v>
      </c>
      <c r="Q110" s="10">
        <v>186.7</v>
      </c>
      <c r="R110" s="10">
        <v>2.958</v>
      </c>
      <c r="S110" s="11">
        <v>40106</v>
      </c>
    </row>
    <row r="111" hidden="1" spans="1:19">
      <c r="A111" s="5" t="s">
        <v>147</v>
      </c>
      <c r="B111" s="6" t="s">
        <v>151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21</v>
      </c>
      <c r="L111" s="10">
        <v>22</v>
      </c>
      <c r="M111" s="10">
        <v>103.4416926</v>
      </c>
      <c r="N111" s="10">
        <v>18.5</v>
      </c>
      <c r="O111" s="10">
        <v>113.8</v>
      </c>
      <c r="P111" s="10">
        <v>74.4</v>
      </c>
      <c r="Q111" s="10">
        <v>205.4</v>
      </c>
      <c r="R111" s="10">
        <v>3.967</v>
      </c>
      <c r="S111" s="11">
        <v>40592</v>
      </c>
    </row>
    <row r="112" hidden="1" spans="1:19">
      <c r="A112" s="5" t="s">
        <v>147</v>
      </c>
      <c r="B112" s="6" t="s">
        <v>152</v>
      </c>
      <c r="C112" s="7">
        <v>20017</v>
      </c>
      <c r="D112" s="8">
        <v>31598</v>
      </c>
      <c r="E112" s="8">
        <v>19925</v>
      </c>
      <c r="F112" s="9">
        <f t="shared" si="2"/>
        <v>0.630577884676245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43</v>
      </c>
      <c r="L112" s="10">
        <v>19</v>
      </c>
      <c r="M112" s="10">
        <v>80.51167259</v>
      </c>
      <c r="N112" s="10">
        <v>17.5</v>
      </c>
      <c r="O112" s="10">
        <v>107</v>
      </c>
      <c r="P112" s="10">
        <v>67.8</v>
      </c>
      <c r="Q112" s="10">
        <v>181.2</v>
      </c>
      <c r="R112" s="10">
        <v>4.068</v>
      </c>
      <c r="S112" s="11">
        <v>40807</v>
      </c>
    </row>
    <row r="113" hidden="1" spans="1:19">
      <c r="A113" s="5" t="s">
        <v>147</v>
      </c>
      <c r="B113" s="6" t="s">
        <v>153</v>
      </c>
      <c r="C113" s="7">
        <v>24361</v>
      </c>
      <c r="D113" s="8">
        <v>25345</v>
      </c>
      <c r="E113" s="8">
        <v>15240</v>
      </c>
      <c r="F113" s="9">
        <f t="shared" si="2"/>
        <v>0.601302031958966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43</v>
      </c>
      <c r="L113" s="10">
        <v>22</v>
      </c>
      <c r="M113" s="10">
        <v>76.09657042</v>
      </c>
      <c r="N113" s="10">
        <v>25</v>
      </c>
      <c r="O113" s="10">
        <v>120</v>
      </c>
      <c r="P113" s="10">
        <v>72.2</v>
      </c>
      <c r="Q113" s="10">
        <v>201.4</v>
      </c>
      <c r="R113" s="10">
        <v>3.948</v>
      </c>
      <c r="S113" s="11">
        <v>40719</v>
      </c>
    </row>
    <row r="114" hidden="1" spans="1:19">
      <c r="A114" s="5" t="s">
        <v>154</v>
      </c>
      <c r="B114" s="6" t="s">
        <v>62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21</v>
      </c>
      <c r="L114" s="10">
        <v>29</v>
      </c>
      <c r="M114" s="10">
        <v>52.08489875</v>
      </c>
      <c r="N114" s="10">
        <v>12.5</v>
      </c>
      <c r="O114" s="10">
        <v>105</v>
      </c>
      <c r="P114" s="10">
        <v>74.4</v>
      </c>
      <c r="Q114" s="10">
        <v>174.4</v>
      </c>
      <c r="R114" s="10">
        <v>2.559</v>
      </c>
      <c r="S114" s="11">
        <v>40659</v>
      </c>
    </row>
    <row r="115" hidden="1" spans="1:19">
      <c r="A115" s="5" t="s">
        <v>154</v>
      </c>
      <c r="B115" s="6" t="s">
        <v>155</v>
      </c>
      <c r="C115" s="7">
        <v>5240</v>
      </c>
      <c r="D115" s="8">
        <v>16080</v>
      </c>
      <c r="E115" s="8">
        <v>9800</v>
      </c>
      <c r="F115" s="9">
        <f t="shared" si="2"/>
        <v>0.609452736318408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21</v>
      </c>
      <c r="L115" s="10">
        <v>27</v>
      </c>
      <c r="M115" s="10">
        <v>53.41189767</v>
      </c>
      <c r="N115" s="10">
        <v>16</v>
      </c>
      <c r="O115" s="10">
        <v>108</v>
      </c>
      <c r="P115" s="10">
        <v>71</v>
      </c>
      <c r="Q115" s="10">
        <v>186.3</v>
      </c>
      <c r="R115" s="10">
        <v>2.942</v>
      </c>
      <c r="S115" s="11">
        <v>40861</v>
      </c>
    </row>
    <row r="116" hidden="1" spans="1:19">
      <c r="A116" s="5" t="s">
        <v>154</v>
      </c>
      <c r="B116" s="6" t="s">
        <v>156</v>
      </c>
      <c r="C116" s="7">
        <v>24155</v>
      </c>
      <c r="D116" s="8">
        <v>18850</v>
      </c>
      <c r="E116" s="8">
        <v>12025</v>
      </c>
      <c r="F116" s="9">
        <f t="shared" si="2"/>
        <v>0.637931034482759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43</v>
      </c>
      <c r="L116" s="10">
        <v>24</v>
      </c>
      <c r="M116" s="10">
        <v>60.95118512</v>
      </c>
      <c r="N116" s="10">
        <v>20</v>
      </c>
      <c r="O116" s="10">
        <v>113.3</v>
      </c>
      <c r="P116" s="10">
        <v>76.8</v>
      </c>
      <c r="Q116" s="10">
        <v>186.3</v>
      </c>
      <c r="R116" s="10">
        <v>3.528</v>
      </c>
      <c r="S116" s="11">
        <v>40657</v>
      </c>
    </row>
    <row r="117" hidden="1" spans="1:19">
      <c r="A117" s="5" t="s">
        <v>154</v>
      </c>
      <c r="B117" s="6" t="s">
        <v>157</v>
      </c>
      <c r="C117" s="7">
        <v>1872</v>
      </c>
      <c r="D117" s="8">
        <v>43000</v>
      </c>
      <c r="E117" s="8">
        <v>30434</v>
      </c>
      <c r="F117" s="9">
        <f t="shared" si="2"/>
        <v>0.707767441860465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21</v>
      </c>
      <c r="L117" s="10">
        <v>21</v>
      </c>
      <c r="M117" s="10">
        <v>106.9844563</v>
      </c>
      <c r="N117" s="10">
        <v>12</v>
      </c>
      <c r="O117" s="10">
        <v>113.3</v>
      </c>
      <c r="P117" s="10">
        <v>76.3</v>
      </c>
      <c r="Q117" s="10">
        <v>165.4</v>
      </c>
      <c r="R117" s="10">
        <v>2.85</v>
      </c>
      <c r="S117" s="11">
        <v>41087</v>
      </c>
    </row>
    <row r="118" hidden="1" spans="1:19">
      <c r="A118" s="5" t="s">
        <v>158</v>
      </c>
      <c r="B118" s="6" t="s">
        <v>159</v>
      </c>
      <c r="C118" s="7">
        <v>51645</v>
      </c>
      <c r="D118" s="8">
        <v>21610</v>
      </c>
      <c r="E118" s="8">
        <v>13790</v>
      </c>
      <c r="F118" s="9">
        <f t="shared" si="2"/>
        <v>0.638130495141138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21</v>
      </c>
      <c r="L118" s="10">
        <v>27</v>
      </c>
      <c r="M118" s="10">
        <v>62.0158703</v>
      </c>
      <c r="N118" s="10">
        <v>15</v>
      </c>
      <c r="O118" s="10">
        <v>104.1</v>
      </c>
      <c r="P118" s="10">
        <v>68.4</v>
      </c>
      <c r="Q118" s="10">
        <v>181.9</v>
      </c>
      <c r="R118" s="10">
        <v>2.906</v>
      </c>
      <c r="S118" s="11">
        <v>40933</v>
      </c>
    </row>
    <row r="119" hidden="1" spans="1:19">
      <c r="A119" s="5" t="s">
        <v>158</v>
      </c>
      <c r="B119" s="6" t="s">
        <v>160</v>
      </c>
      <c r="C119" s="7">
        <v>131097</v>
      </c>
      <c r="D119" s="8">
        <v>19720</v>
      </c>
      <c r="E119" s="8">
        <v>10290</v>
      </c>
      <c r="F119" s="9">
        <f t="shared" si="2"/>
        <v>0.521805273833671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21</v>
      </c>
      <c r="L119" s="10">
        <v>25</v>
      </c>
      <c r="M119" s="10">
        <v>70.38973726</v>
      </c>
      <c r="N119" s="10">
        <v>15.2</v>
      </c>
      <c r="O119" s="10">
        <v>107</v>
      </c>
      <c r="P119" s="10">
        <v>70.4</v>
      </c>
      <c r="Q119" s="10">
        <v>186.3</v>
      </c>
      <c r="R119" s="10">
        <v>3.091</v>
      </c>
      <c r="S119" s="11">
        <v>41239</v>
      </c>
    </row>
    <row r="120" hidden="1" spans="1:19">
      <c r="A120" s="5" t="s">
        <v>158</v>
      </c>
      <c r="B120" s="6" t="s">
        <v>161</v>
      </c>
      <c r="C120" s="7">
        <v>19911</v>
      </c>
      <c r="D120" s="8">
        <v>25310</v>
      </c>
      <c r="E120" s="8">
        <v>17805</v>
      </c>
      <c r="F120" s="9">
        <f t="shared" si="2"/>
        <v>0.703476886606085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21</v>
      </c>
      <c r="L120" s="10">
        <v>25</v>
      </c>
      <c r="M120" s="10">
        <v>81.49272616</v>
      </c>
      <c r="N120" s="10">
        <v>16.8</v>
      </c>
      <c r="O120" s="10">
        <v>101.1</v>
      </c>
      <c r="P120" s="10">
        <v>74.5</v>
      </c>
      <c r="Q120" s="10">
        <v>193.4</v>
      </c>
      <c r="R120" s="10">
        <v>3.492</v>
      </c>
      <c r="S120" s="11">
        <v>41076</v>
      </c>
    </row>
    <row r="121" hidden="1" spans="1:19">
      <c r="A121" s="5" t="s">
        <v>158</v>
      </c>
      <c r="B121" s="6" t="s">
        <v>162</v>
      </c>
      <c r="C121" s="7">
        <v>92364</v>
      </c>
      <c r="D121" s="8">
        <v>21665</v>
      </c>
      <c r="E121" s="8">
        <v>14010</v>
      </c>
      <c r="F121" s="9">
        <f t="shared" si="2"/>
        <v>0.646665128086776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21</v>
      </c>
      <c r="L121" s="10">
        <v>25</v>
      </c>
      <c r="M121" s="10">
        <v>78.31816813</v>
      </c>
      <c r="N121" s="10">
        <v>18</v>
      </c>
      <c r="O121" s="10">
        <v>110.5</v>
      </c>
      <c r="P121" s="10">
        <v>72.7</v>
      </c>
      <c r="Q121" s="10">
        <v>196.5</v>
      </c>
      <c r="R121" s="10">
        <v>3.396</v>
      </c>
      <c r="S121" s="11">
        <v>41197</v>
      </c>
    </row>
    <row r="122" hidden="1" spans="1:19">
      <c r="A122" s="5" t="s">
        <v>158</v>
      </c>
      <c r="B122" s="6" t="s">
        <v>163</v>
      </c>
      <c r="C122" s="7">
        <v>35945</v>
      </c>
      <c r="D122" s="8">
        <v>23755</v>
      </c>
      <c r="E122" s="8">
        <v>13225</v>
      </c>
      <c r="F122" s="9">
        <f t="shared" si="2"/>
        <v>0.556724900021048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21</v>
      </c>
      <c r="L122" s="10">
        <v>24</v>
      </c>
      <c r="M122" s="10">
        <v>82.6613556</v>
      </c>
      <c r="N122" s="10">
        <v>17.5</v>
      </c>
      <c r="O122" s="10">
        <v>112.2</v>
      </c>
      <c r="P122" s="10">
        <v>72.6</v>
      </c>
      <c r="Q122" s="10">
        <v>202.5</v>
      </c>
      <c r="R122" s="10">
        <v>3.59</v>
      </c>
      <c r="S122" s="11">
        <v>40681</v>
      </c>
    </row>
    <row r="123" hidden="1" spans="1:19">
      <c r="A123" s="5" t="s">
        <v>158</v>
      </c>
      <c r="B123" s="6" t="s">
        <v>164</v>
      </c>
      <c r="C123" s="7">
        <v>39572</v>
      </c>
      <c r="D123" s="8">
        <v>25635</v>
      </c>
      <c r="E123" s="8">
        <v>14215</v>
      </c>
      <c r="F123" s="9">
        <f t="shared" si="2"/>
        <v>0.554515311098108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43</v>
      </c>
      <c r="L123" s="10">
        <v>23</v>
      </c>
      <c r="M123" s="10">
        <v>76.20843952</v>
      </c>
      <c r="N123" s="10">
        <v>25</v>
      </c>
      <c r="O123" s="10">
        <v>120</v>
      </c>
      <c r="P123" s="10">
        <v>72.7</v>
      </c>
      <c r="Q123" s="10">
        <v>201.3</v>
      </c>
      <c r="R123" s="10">
        <v>3.942</v>
      </c>
      <c r="S123" s="11">
        <v>41112</v>
      </c>
    </row>
    <row r="124" hidden="1" spans="1:19">
      <c r="A124" s="5" t="s">
        <v>165</v>
      </c>
      <c r="B124" s="6" t="s">
        <v>166</v>
      </c>
      <c r="C124" s="7">
        <v>8982</v>
      </c>
      <c r="D124" s="8">
        <v>41430</v>
      </c>
      <c r="E124" s="8">
        <v>41250</v>
      </c>
      <c r="F124" s="9">
        <f t="shared" si="2"/>
        <v>0.995655322230268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21</v>
      </c>
      <c r="L124" s="10">
        <v>22</v>
      </c>
      <c r="M124" s="10">
        <v>93.4373307</v>
      </c>
      <c r="N124" s="10">
        <v>17</v>
      </c>
      <c r="O124" s="10">
        <v>95.2</v>
      </c>
      <c r="P124" s="10">
        <v>70.1</v>
      </c>
      <c r="Q124" s="10">
        <v>171</v>
      </c>
      <c r="R124" s="10">
        <v>2.778</v>
      </c>
      <c r="S124" s="11">
        <v>40958</v>
      </c>
    </row>
    <row r="125" hidden="1" spans="1:19">
      <c r="A125" s="5" t="s">
        <v>165</v>
      </c>
      <c r="B125" s="6" t="s">
        <v>167</v>
      </c>
      <c r="C125" s="7">
        <v>1280</v>
      </c>
      <c r="D125" s="8">
        <v>71020</v>
      </c>
      <c r="E125" s="8">
        <v>60625</v>
      </c>
      <c r="F125" s="9">
        <f t="shared" si="2"/>
        <v>0.853632779498733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21</v>
      </c>
      <c r="L125" s="10">
        <v>21</v>
      </c>
      <c r="M125" s="10">
        <v>134.3909754</v>
      </c>
      <c r="N125" s="10">
        <v>17</v>
      </c>
      <c r="O125" s="10">
        <v>92.6</v>
      </c>
      <c r="P125" s="10">
        <v>69.5</v>
      </c>
      <c r="Q125" s="10">
        <v>174.5</v>
      </c>
      <c r="R125" s="10">
        <v>3.032</v>
      </c>
      <c r="S125" s="11">
        <v>41264</v>
      </c>
    </row>
    <row r="126" hidden="1" spans="1:19">
      <c r="A126" s="5" t="s">
        <v>165</v>
      </c>
      <c r="B126" s="6" t="s">
        <v>168</v>
      </c>
      <c r="C126" s="7">
        <v>1866</v>
      </c>
      <c r="D126" s="8">
        <v>74970</v>
      </c>
      <c r="E126" s="8">
        <v>67550</v>
      </c>
      <c r="F126" s="9">
        <f t="shared" si="2"/>
        <v>0.901027077497666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21</v>
      </c>
      <c r="L126" s="10">
        <v>23</v>
      </c>
      <c r="M126" s="10">
        <v>135.9147096</v>
      </c>
      <c r="N126" s="10">
        <v>17</v>
      </c>
      <c r="O126" s="10">
        <v>92.6</v>
      </c>
      <c r="P126" s="10">
        <v>69.5</v>
      </c>
      <c r="Q126" s="10">
        <v>174.5</v>
      </c>
      <c r="R126" s="10">
        <v>3.075</v>
      </c>
      <c r="S126" s="11">
        <v>40735</v>
      </c>
    </row>
    <row r="127" hidden="1" spans="1:19">
      <c r="A127" s="5" t="s">
        <v>169</v>
      </c>
      <c r="B127" s="15" t="s">
        <v>170</v>
      </c>
      <c r="C127" s="7">
        <v>9191</v>
      </c>
      <c r="D127" s="8">
        <v>33120</v>
      </c>
      <c r="E127" s="8">
        <v>22789</v>
      </c>
      <c r="F127" s="9">
        <f t="shared" si="2"/>
        <v>0.688073671497585</v>
      </c>
      <c r="G127" s="9" t="str">
        <f t="shared" si="3"/>
        <v>POOR</v>
      </c>
      <c r="H127" s="10">
        <v>2.3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21</v>
      </c>
      <c r="L127" s="10">
        <v>23</v>
      </c>
      <c r="M127" s="10">
        <v>73.50377819</v>
      </c>
      <c r="N127" s="10">
        <v>18.5</v>
      </c>
      <c r="O127" s="10">
        <v>106.4</v>
      </c>
      <c r="P127" s="10">
        <v>70.6</v>
      </c>
      <c r="Q127" s="10">
        <v>189.2</v>
      </c>
      <c r="R127" s="10">
        <v>3.28</v>
      </c>
      <c r="S127" s="11">
        <v>41222</v>
      </c>
    </row>
    <row r="128" hidden="1" spans="1:19">
      <c r="A128" s="5" t="s">
        <v>169</v>
      </c>
      <c r="B128" s="15" t="s">
        <v>171</v>
      </c>
      <c r="C128" s="7">
        <v>12115</v>
      </c>
      <c r="D128" s="8">
        <v>26100</v>
      </c>
      <c r="E128" s="8">
        <v>18255</v>
      </c>
      <c r="F128" s="9">
        <f t="shared" si="2"/>
        <v>0.699425287356322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21</v>
      </c>
      <c r="L128" s="10">
        <v>23</v>
      </c>
      <c r="M128" s="10">
        <v>76.02304771</v>
      </c>
      <c r="N128" s="10">
        <v>16.9</v>
      </c>
      <c r="O128" s="10">
        <v>102.6</v>
      </c>
      <c r="P128" s="10">
        <v>67.4</v>
      </c>
      <c r="Q128" s="10">
        <v>182.2</v>
      </c>
      <c r="R128" s="10">
        <v>2.99</v>
      </c>
      <c r="S128" s="11">
        <v>40706</v>
      </c>
    </row>
    <row r="129" hidden="1" spans="1:19">
      <c r="A129" s="5" t="s">
        <v>172</v>
      </c>
      <c r="B129" s="6" t="s">
        <v>173</v>
      </c>
      <c r="C129" s="7">
        <v>80620</v>
      </c>
      <c r="D129" s="8">
        <v>10685</v>
      </c>
      <c r="E129" s="8">
        <v>9200</v>
      </c>
      <c r="F129" s="9">
        <f t="shared" si="2"/>
        <v>0.861020121665887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21</v>
      </c>
      <c r="L129" s="10">
        <v>33</v>
      </c>
      <c r="M129" s="10">
        <v>39.98642475</v>
      </c>
      <c r="N129" s="10">
        <v>12.1</v>
      </c>
      <c r="O129" s="10">
        <v>102.4</v>
      </c>
      <c r="P129" s="10">
        <v>66.4</v>
      </c>
      <c r="Q129" s="10">
        <v>176.9</v>
      </c>
      <c r="R129" s="10">
        <v>2.332</v>
      </c>
      <c r="S129" s="11">
        <v>41137</v>
      </c>
    </row>
    <row r="130" hidden="1" spans="1:19">
      <c r="A130" s="5" t="s">
        <v>172</v>
      </c>
      <c r="B130" s="6" t="s">
        <v>174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21</v>
      </c>
      <c r="L130" s="10">
        <v>33</v>
      </c>
      <c r="M130" s="10">
        <v>40.70007242</v>
      </c>
      <c r="N130" s="10">
        <v>12.1</v>
      </c>
      <c r="O130" s="10">
        <v>102.4</v>
      </c>
      <c r="P130" s="10">
        <v>66.4</v>
      </c>
      <c r="Q130" s="10">
        <v>180</v>
      </c>
      <c r="R130" s="10">
        <v>2.367</v>
      </c>
      <c r="S130" s="11">
        <v>40618</v>
      </c>
    </row>
    <row r="131" hidden="1" spans="1:19">
      <c r="A131" s="5" t="s">
        <v>172</v>
      </c>
      <c r="B131" s="6" t="s">
        <v>175</v>
      </c>
      <c r="C131" s="7">
        <v>5223</v>
      </c>
      <c r="D131" s="8">
        <v>14290</v>
      </c>
      <c r="E131" s="8">
        <v>10790</v>
      </c>
      <c r="F131" s="9">
        <f t="shared" si="4"/>
        <v>0.755073477956613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21</v>
      </c>
      <c r="L131" s="10">
        <v>31</v>
      </c>
      <c r="M131" s="10">
        <v>49.86577367</v>
      </c>
      <c r="N131" s="10">
        <v>12.1</v>
      </c>
      <c r="O131" s="10">
        <v>102.4</v>
      </c>
      <c r="P131" s="10">
        <v>66.4</v>
      </c>
      <c r="Q131" s="10">
        <v>176.9</v>
      </c>
      <c r="R131" s="10">
        <v>2.452</v>
      </c>
      <c r="S131" s="11">
        <v>40558</v>
      </c>
    </row>
    <row r="132" hidden="1" spans="1:19">
      <c r="A132" s="5" t="s">
        <v>172</v>
      </c>
      <c r="B132" s="6" t="s">
        <v>176</v>
      </c>
      <c r="C132" s="7">
        <v>8472</v>
      </c>
      <c r="D132" s="8">
        <v>18835</v>
      </c>
      <c r="E132" s="8">
        <v>13700</v>
      </c>
      <c r="F132" s="9">
        <f t="shared" si="4"/>
        <v>0.727369259357579</v>
      </c>
      <c r="G132" s="9" t="str">
        <f t="shared" si="5"/>
        <v>GOOD</v>
      </c>
      <c r="H132" s="10">
        <v>2.2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21</v>
      </c>
      <c r="L132" s="10">
        <v>27</v>
      </c>
      <c r="M132" s="10">
        <v>56.29524304</v>
      </c>
      <c r="N132" s="10">
        <v>13.1</v>
      </c>
      <c r="O132" s="10">
        <v>106.5</v>
      </c>
      <c r="P132" s="10">
        <v>69</v>
      </c>
      <c r="Q132" s="10">
        <v>190.4</v>
      </c>
      <c r="R132" s="10">
        <v>3.075</v>
      </c>
      <c r="S132" s="11">
        <v>40760</v>
      </c>
    </row>
    <row r="133" hidden="1" spans="1:19">
      <c r="A133" s="5" t="s">
        <v>172</v>
      </c>
      <c r="B133" s="6" t="s">
        <v>177</v>
      </c>
      <c r="C133" s="7">
        <v>49989</v>
      </c>
      <c r="D133" s="8">
        <v>15010</v>
      </c>
      <c r="E133" s="8">
        <v>9900</v>
      </c>
      <c r="F133" s="9">
        <f t="shared" si="4"/>
        <v>0.659560293137908</v>
      </c>
      <c r="G133" s="9" t="str">
        <f t="shared" si="5"/>
        <v>POOR</v>
      </c>
      <c r="H133" s="10">
        <v>2.2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21</v>
      </c>
      <c r="L133" s="10">
        <v>28</v>
      </c>
      <c r="M133" s="10">
        <v>54.81972825</v>
      </c>
      <c r="N133" s="10">
        <v>13.1</v>
      </c>
      <c r="O133" s="10">
        <v>106.5</v>
      </c>
      <c r="P133" s="10">
        <v>69</v>
      </c>
      <c r="Q133" s="10">
        <v>190.4</v>
      </c>
      <c r="R133" s="10">
        <v>2.91</v>
      </c>
      <c r="S133" s="11">
        <v>41247</v>
      </c>
    </row>
    <row r="134" hidden="1" spans="1:19">
      <c r="A134" s="5" t="s">
        <v>178</v>
      </c>
      <c r="B134" s="6" t="s">
        <v>179</v>
      </c>
      <c r="C134" s="7">
        <v>47107</v>
      </c>
      <c r="D134" s="8">
        <v>22695</v>
      </c>
      <c r="E134" s="8">
        <v>16770</v>
      </c>
      <c r="F134" s="9">
        <f t="shared" si="4"/>
        <v>0.738929279576999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21</v>
      </c>
      <c r="L134" s="10">
        <v>25</v>
      </c>
      <c r="M134" s="10">
        <v>67.7659076</v>
      </c>
      <c r="N134" s="10">
        <v>16.9</v>
      </c>
      <c r="O134" s="10">
        <v>103.5</v>
      </c>
      <c r="P134" s="10">
        <v>67.5</v>
      </c>
      <c r="Q134" s="10">
        <v>185.8</v>
      </c>
      <c r="R134" s="10">
        <v>3.415</v>
      </c>
      <c r="S134" s="11">
        <v>40731</v>
      </c>
    </row>
    <row r="135" hidden="1" spans="1:19">
      <c r="A135" s="5" t="s">
        <v>178</v>
      </c>
      <c r="B135" s="6" t="s">
        <v>180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43</v>
      </c>
      <c r="L135" s="10">
        <v>24</v>
      </c>
      <c r="M135" s="10">
        <v>66.76294331</v>
      </c>
      <c r="N135" s="10">
        <v>15.9</v>
      </c>
      <c r="O135" s="10">
        <v>99.4</v>
      </c>
      <c r="P135" s="10">
        <v>68.3</v>
      </c>
      <c r="Q135" s="10">
        <v>175.2</v>
      </c>
      <c r="R135" s="10">
        <v>3.125</v>
      </c>
      <c r="S135" s="11">
        <v>41162</v>
      </c>
    </row>
    <row r="136" spans="1:19">
      <c r="A136" s="5" t="s">
        <v>181</v>
      </c>
      <c r="B136" s="6" t="s">
        <v>189</v>
      </c>
      <c r="C136" s="7">
        <v>68411</v>
      </c>
      <c r="D136" s="8">
        <v>22288</v>
      </c>
      <c r="E136" s="8">
        <v>19425</v>
      </c>
      <c r="F136" s="9">
        <f t="shared" ref="F136:F144" si="6">SUM(E136/D136)</f>
        <v>0.871545226130653</v>
      </c>
      <c r="G136" s="9" t="str">
        <f t="shared" ref="G136:G144" si="7">IF(F136&gt;69%,"GOOD","POOR")</f>
        <v>GOOD</v>
      </c>
      <c r="H136" s="10">
        <v>2.7</v>
      </c>
      <c r="I136" s="10">
        <v>150</v>
      </c>
      <c r="J136" s="10" t="str" cm="1">
        <f t="array" ref="J136">_xlfn.IFS(I136&gt;299,"High HP",I136&gt;99,"Medium HP",I136&lt;100,"Low HP")</f>
        <v>Medium HP</v>
      </c>
      <c r="K136" s="10" t="s">
        <v>43</v>
      </c>
      <c r="L136" s="10">
        <v>23</v>
      </c>
      <c r="M136" s="10">
        <v>62.35557713</v>
      </c>
      <c r="N136" s="10">
        <v>18.5</v>
      </c>
      <c r="O136" s="10">
        <v>105.3</v>
      </c>
      <c r="P136" s="10">
        <v>66.5</v>
      </c>
      <c r="Q136" s="10">
        <v>183.3</v>
      </c>
      <c r="R136" s="10">
        <v>3.44</v>
      </c>
      <c r="S136" s="11">
        <v>40609</v>
      </c>
    </row>
    <row r="137" spans="1:19">
      <c r="A137" s="5" t="s">
        <v>181</v>
      </c>
      <c r="B137" s="6" t="s">
        <v>184</v>
      </c>
      <c r="C137" s="7">
        <v>63849</v>
      </c>
      <c r="D137" s="8">
        <v>25545</v>
      </c>
      <c r="E137" s="8">
        <v>18140</v>
      </c>
      <c r="F137" s="9">
        <f t="shared" si="6"/>
        <v>0.710119397142298</v>
      </c>
      <c r="G137" s="9" t="str">
        <f t="shared" si="7"/>
        <v>GOOD</v>
      </c>
      <c r="H137" s="10">
        <v>3</v>
      </c>
      <c r="I137" s="10">
        <v>210</v>
      </c>
      <c r="J137" s="10" t="str" cm="1">
        <f t="array" ref="J137">_xlfn.IFS(I137&gt;299,"High HP",I137&gt;99,"Medium HP",I137&lt;100,"Low HP")</f>
        <v>Medium HP</v>
      </c>
      <c r="K137" s="10" t="s">
        <v>21</v>
      </c>
      <c r="L137" s="10">
        <v>26</v>
      </c>
      <c r="M137" s="10">
        <v>84.91189826</v>
      </c>
      <c r="N137" s="10">
        <v>18.5</v>
      </c>
      <c r="O137" s="10">
        <v>107.1</v>
      </c>
      <c r="P137" s="10">
        <v>71.7</v>
      </c>
      <c r="Q137" s="10">
        <v>191.9</v>
      </c>
      <c r="R137" s="10">
        <v>3.417</v>
      </c>
      <c r="S137" s="11">
        <v>40786</v>
      </c>
    </row>
    <row r="138" spans="1:19">
      <c r="A138" s="5" t="s">
        <v>181</v>
      </c>
      <c r="B138" s="6" t="s">
        <v>183</v>
      </c>
      <c r="C138" s="7">
        <v>247994</v>
      </c>
      <c r="D138" s="8">
        <v>17518</v>
      </c>
      <c r="E138" s="8">
        <v>13245</v>
      </c>
      <c r="F138" s="9">
        <f t="shared" si="6"/>
        <v>0.756079461125699</v>
      </c>
      <c r="G138" s="9" t="str">
        <f t="shared" si="7"/>
        <v>GOOD</v>
      </c>
      <c r="H138" s="10">
        <v>2.2</v>
      </c>
      <c r="I138" s="10">
        <v>133</v>
      </c>
      <c r="J138" s="10" t="str" cm="1">
        <f t="array" ref="J138">_xlfn.IFS(I138&gt;299,"High HP",I138&gt;99,"Medium HP",I138&lt;100,"Low HP")</f>
        <v>Medium HP</v>
      </c>
      <c r="K138" s="10" t="s">
        <v>21</v>
      </c>
      <c r="L138" s="10">
        <v>27</v>
      </c>
      <c r="M138" s="10">
        <v>54.37241965</v>
      </c>
      <c r="N138" s="10">
        <v>18.5</v>
      </c>
      <c r="O138" s="10">
        <v>105.2</v>
      </c>
      <c r="P138" s="10">
        <v>70.1</v>
      </c>
      <c r="Q138" s="10">
        <v>188.5</v>
      </c>
      <c r="R138" s="10">
        <v>2.998</v>
      </c>
      <c r="S138" s="11">
        <v>40584</v>
      </c>
    </row>
    <row r="139" spans="1:19">
      <c r="A139" s="5" t="s">
        <v>181</v>
      </c>
      <c r="B139" s="6" t="s">
        <v>185</v>
      </c>
      <c r="C139" s="7">
        <v>33269</v>
      </c>
      <c r="D139" s="8">
        <v>16875</v>
      </c>
      <c r="E139" s="8">
        <v>15445</v>
      </c>
      <c r="F139" s="9">
        <f t="shared" si="6"/>
        <v>0.915259259259259</v>
      </c>
      <c r="G139" s="9" t="str">
        <f t="shared" si="7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21</v>
      </c>
      <c r="L139" s="10">
        <v>31</v>
      </c>
      <c r="M139" s="10">
        <v>56.49603034</v>
      </c>
      <c r="N139" s="10">
        <v>14.5</v>
      </c>
      <c r="O139" s="10">
        <v>102.4</v>
      </c>
      <c r="P139" s="10">
        <v>68.3</v>
      </c>
      <c r="Q139" s="10">
        <v>170.5</v>
      </c>
      <c r="R139" s="10">
        <v>2.425</v>
      </c>
      <c r="S139" s="11">
        <v>41272</v>
      </c>
    </row>
    <row r="140" spans="1:19">
      <c r="A140" s="5" t="s">
        <v>181</v>
      </c>
      <c r="B140" s="6" t="s">
        <v>182</v>
      </c>
      <c r="C140" s="7">
        <v>142535</v>
      </c>
      <c r="D140" s="8">
        <v>13108</v>
      </c>
      <c r="E140" s="8">
        <v>10025</v>
      </c>
      <c r="F140" s="9">
        <f t="shared" si="6"/>
        <v>0.764800122062862</v>
      </c>
      <c r="G140" s="9" t="str">
        <f t="shared" si="7"/>
        <v>GOOD</v>
      </c>
      <c r="H140" s="10">
        <v>1.8</v>
      </c>
      <c r="I140" s="10">
        <v>120</v>
      </c>
      <c r="J140" s="10" t="str" cm="1">
        <f t="array" ref="J140">_xlfn.IFS(I140&gt;299,"High HP",I140&gt;99,"Medium HP",I140&lt;100,"Low HP")</f>
        <v>Medium HP</v>
      </c>
      <c r="K140" s="10" t="s">
        <v>21</v>
      </c>
      <c r="L140" s="10">
        <v>33</v>
      </c>
      <c r="M140" s="10">
        <v>47.96897242</v>
      </c>
      <c r="N140" s="10">
        <v>13.2</v>
      </c>
      <c r="O140" s="10">
        <v>97</v>
      </c>
      <c r="P140" s="10">
        <v>66.7</v>
      </c>
      <c r="Q140" s="10">
        <v>174</v>
      </c>
      <c r="R140" s="10">
        <v>2.42</v>
      </c>
      <c r="S140" s="11">
        <v>40644</v>
      </c>
    </row>
    <row r="141" spans="1:19">
      <c r="A141" s="5" t="s">
        <v>181</v>
      </c>
      <c r="B141" s="6" t="s">
        <v>190</v>
      </c>
      <c r="C141" s="7">
        <v>9835</v>
      </c>
      <c r="D141" s="8">
        <v>51728</v>
      </c>
      <c r="E141" s="8">
        <v>34080</v>
      </c>
      <c r="F141" s="9">
        <f t="shared" si="6"/>
        <v>0.658830807299722</v>
      </c>
      <c r="G141" s="9" t="str">
        <f t="shared" si="7"/>
        <v>POOR</v>
      </c>
      <c r="H141" s="10">
        <v>4.7</v>
      </c>
      <c r="I141" s="10">
        <v>230</v>
      </c>
      <c r="J141" s="10" t="str" cm="1">
        <f t="array" ref="J141">_xlfn.IFS(I141&gt;299,"High HP",I141&gt;99,"Medium HP",I141&lt;100,"Low HP")</f>
        <v>Medium HP</v>
      </c>
      <c r="K141" s="10" t="s">
        <v>43</v>
      </c>
      <c r="L141" s="10">
        <v>15</v>
      </c>
      <c r="M141" s="10">
        <v>102.5289842</v>
      </c>
      <c r="N141" s="10">
        <v>25.4</v>
      </c>
      <c r="O141" s="10">
        <v>112.2</v>
      </c>
      <c r="P141" s="10">
        <v>76.4</v>
      </c>
      <c r="Q141" s="10">
        <v>192.5</v>
      </c>
      <c r="R141" s="10">
        <v>5.115</v>
      </c>
      <c r="S141" s="11">
        <v>40811</v>
      </c>
    </row>
    <row r="142" spans="1:19">
      <c r="A142" s="5" t="s">
        <v>181</v>
      </c>
      <c r="B142" s="6" t="s">
        <v>188</v>
      </c>
      <c r="C142" s="7">
        <v>25106</v>
      </c>
      <c r="D142" s="8">
        <v>16888</v>
      </c>
      <c r="E142" s="8">
        <v>13325</v>
      </c>
      <c r="F142" s="9">
        <f t="shared" si="6"/>
        <v>0.789021790620559</v>
      </c>
      <c r="G142" s="9" t="str">
        <f t="shared" si="7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43</v>
      </c>
      <c r="L142" s="10">
        <v>27</v>
      </c>
      <c r="M142" s="10">
        <v>51.95510887</v>
      </c>
      <c r="N142" s="10">
        <v>15.3</v>
      </c>
      <c r="O142" s="10">
        <v>94.9</v>
      </c>
      <c r="P142" s="10">
        <v>66.7</v>
      </c>
      <c r="Q142" s="10">
        <v>163.8</v>
      </c>
      <c r="R142" s="10">
        <v>2.668</v>
      </c>
      <c r="S142" s="11">
        <v>40669</v>
      </c>
    </row>
    <row r="143" spans="1:19">
      <c r="A143" s="5" t="s">
        <v>181</v>
      </c>
      <c r="B143" s="6" t="s">
        <v>187</v>
      </c>
      <c r="C143" s="7">
        <v>65119</v>
      </c>
      <c r="D143" s="8">
        <v>22368</v>
      </c>
      <c r="E143" s="8">
        <v>18689</v>
      </c>
      <c r="F143" s="9">
        <f t="shared" si="6"/>
        <v>0.835523962804006</v>
      </c>
      <c r="G143" s="9" t="str">
        <f t="shared" si="7"/>
        <v>GOOD</v>
      </c>
      <c r="H143" s="10">
        <v>3</v>
      </c>
      <c r="I143" s="10">
        <v>194</v>
      </c>
      <c r="J143" s="10" t="str" cm="1">
        <f t="array" ref="J143">_xlfn.IFS(I143&gt;299,"High HP",I143&gt;99,"Medium HP",I143&lt;100,"Low HP")</f>
        <v>Medium HP</v>
      </c>
      <c r="K143" s="10" t="s">
        <v>43</v>
      </c>
      <c r="L143" s="10">
        <v>22</v>
      </c>
      <c r="M143" s="10">
        <v>78.02721947</v>
      </c>
      <c r="N143" s="10">
        <v>20.9</v>
      </c>
      <c r="O143" s="10">
        <v>114.2</v>
      </c>
      <c r="P143" s="10">
        <v>73.4</v>
      </c>
      <c r="Q143" s="10">
        <v>193.5</v>
      </c>
      <c r="R143" s="10">
        <v>3.759</v>
      </c>
      <c r="S143" s="11">
        <v>41187</v>
      </c>
    </row>
    <row r="144" spans="1:19">
      <c r="A144" s="5" t="s">
        <v>181</v>
      </c>
      <c r="B144" s="6" t="s">
        <v>186</v>
      </c>
      <c r="C144" s="7">
        <v>84087</v>
      </c>
      <c r="D144" s="8">
        <v>11528</v>
      </c>
      <c r="E144" s="8">
        <v>9575</v>
      </c>
      <c r="F144" s="9">
        <f t="shared" si="6"/>
        <v>0.83058639833449</v>
      </c>
      <c r="G144" s="9" t="str">
        <f t="shared" si="7"/>
        <v>GOOD</v>
      </c>
      <c r="H144" s="10">
        <v>2.4</v>
      </c>
      <c r="I144" s="10">
        <v>142</v>
      </c>
      <c r="J144" s="10" t="str" cm="1">
        <f t="array" ref="J144">_xlfn.IFS(I144&gt;299,"High HP",I144&gt;99,"Medium HP",I144&lt;100,"Low HP")</f>
        <v>Medium HP</v>
      </c>
      <c r="K144" s="10" t="s">
        <v>43</v>
      </c>
      <c r="L144" s="10">
        <v>23</v>
      </c>
      <c r="M144" s="10">
        <v>55.29711658</v>
      </c>
      <c r="N144" s="10">
        <v>15.1</v>
      </c>
      <c r="O144" s="10">
        <v>103.3</v>
      </c>
      <c r="P144" s="10">
        <v>66.5</v>
      </c>
      <c r="Q144" s="10">
        <v>178.7</v>
      </c>
      <c r="R144" s="10">
        <v>2.58</v>
      </c>
      <c r="S144" s="11">
        <v>40756</v>
      </c>
    </row>
    <row r="145" hidden="1" spans="1:19">
      <c r="A145" s="5" t="s">
        <v>191</v>
      </c>
      <c r="B145" s="6" t="s">
        <v>192</v>
      </c>
      <c r="C145" s="7">
        <v>9761</v>
      </c>
      <c r="D145" s="8">
        <v>14900</v>
      </c>
      <c r="E145" s="8">
        <v>11425</v>
      </c>
      <c r="F145" s="9">
        <f t="shared" si="4"/>
        <v>0.766778523489933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21</v>
      </c>
      <c r="L145" s="10">
        <v>26</v>
      </c>
      <c r="M145" s="10">
        <v>46.94387676</v>
      </c>
      <c r="N145" s="10">
        <v>14.5</v>
      </c>
      <c r="O145" s="10">
        <v>98.9</v>
      </c>
      <c r="P145" s="10">
        <v>68.3</v>
      </c>
      <c r="Q145" s="10">
        <v>163.3</v>
      </c>
      <c r="R145" s="10">
        <v>2.767</v>
      </c>
      <c r="S145" s="11">
        <v>40567</v>
      </c>
    </row>
    <row r="146" hidden="1" spans="1:19">
      <c r="A146" s="5" t="s">
        <v>191</v>
      </c>
      <c r="B146" s="6" t="s">
        <v>193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21</v>
      </c>
      <c r="L146" s="10">
        <v>26</v>
      </c>
      <c r="M146" s="10">
        <v>47.63823666</v>
      </c>
      <c r="N146" s="10">
        <v>14.5</v>
      </c>
      <c r="O146" s="10">
        <v>98.9</v>
      </c>
      <c r="P146" s="10">
        <v>68.3</v>
      </c>
      <c r="Q146" s="10">
        <v>172.3</v>
      </c>
      <c r="R146" s="10">
        <v>2.853</v>
      </c>
      <c r="S146" s="11">
        <v>40782</v>
      </c>
    </row>
    <row r="147" hidden="1" spans="1:19">
      <c r="A147" s="5" t="s">
        <v>191</v>
      </c>
      <c r="B147" s="6" t="s">
        <v>194</v>
      </c>
      <c r="C147" s="7">
        <v>51102</v>
      </c>
      <c r="D147" s="8">
        <v>21200</v>
      </c>
      <c r="E147" s="8">
        <v>16725</v>
      </c>
      <c r="F147" s="9">
        <f t="shared" si="4"/>
        <v>0.788915094339623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21</v>
      </c>
      <c r="L147" s="10">
        <v>27</v>
      </c>
      <c r="M147" s="10">
        <v>61.70138136</v>
      </c>
      <c r="N147" s="10">
        <v>16.4</v>
      </c>
      <c r="O147" s="10">
        <v>106.4</v>
      </c>
      <c r="P147" s="10">
        <v>68.5</v>
      </c>
      <c r="Q147" s="10">
        <v>184.1</v>
      </c>
      <c r="R147" s="10">
        <v>3.043</v>
      </c>
      <c r="S147" s="11">
        <v>41212</v>
      </c>
    </row>
    <row r="148" hidden="1" spans="1:19">
      <c r="A148" s="5" t="s">
        <v>191</v>
      </c>
      <c r="B148" s="6" t="s">
        <v>195</v>
      </c>
      <c r="C148" s="7">
        <v>9569</v>
      </c>
      <c r="D148" s="8">
        <v>19990</v>
      </c>
      <c r="E148" s="8">
        <v>16575</v>
      </c>
      <c r="F148" s="9">
        <f t="shared" si="4"/>
        <v>0.829164582291146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21</v>
      </c>
      <c r="L148" s="10">
        <v>26</v>
      </c>
      <c r="M148" s="10">
        <v>48.90737225</v>
      </c>
      <c r="N148" s="10">
        <v>13.7</v>
      </c>
      <c r="O148" s="10">
        <v>97.4</v>
      </c>
      <c r="P148" s="10">
        <v>66.7</v>
      </c>
      <c r="Q148" s="10">
        <v>160.4</v>
      </c>
      <c r="R148" s="10">
        <v>3.079</v>
      </c>
      <c r="S148" s="11">
        <v>40694</v>
      </c>
    </row>
    <row r="149" hidden="1" spans="1:19">
      <c r="A149" s="5" t="s">
        <v>191</v>
      </c>
      <c r="B149" s="6" t="s">
        <v>196</v>
      </c>
      <c r="C149" s="7">
        <v>5596</v>
      </c>
      <c r="D149" s="8">
        <v>17500</v>
      </c>
      <c r="E149" s="8">
        <v>13760</v>
      </c>
      <c r="F149" s="9">
        <f t="shared" si="4"/>
        <v>0.786285714285714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21</v>
      </c>
      <c r="L149" s="10">
        <v>26</v>
      </c>
      <c r="M149" s="10">
        <v>47.94684106</v>
      </c>
      <c r="N149" s="10">
        <v>14.6</v>
      </c>
      <c r="O149" s="10">
        <v>98.9</v>
      </c>
      <c r="P149" s="10">
        <v>68.3</v>
      </c>
      <c r="Q149" s="10">
        <v>163.3</v>
      </c>
      <c r="R149" s="10">
        <v>2.762</v>
      </c>
      <c r="S149" s="11">
        <v>40634</v>
      </c>
    </row>
    <row r="150" hidden="1" spans="1:19">
      <c r="A150" s="5" t="s">
        <v>191</v>
      </c>
      <c r="B150" s="6" t="s">
        <v>197</v>
      </c>
      <c r="C150" s="7">
        <v>49463</v>
      </c>
      <c r="D150" s="8">
        <v>15900</v>
      </c>
      <c r="E150" s="8">
        <v>11986</v>
      </c>
      <c r="F150" s="9">
        <f t="shared" si="4"/>
        <v>0.753836477987421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21</v>
      </c>
      <c r="L150" s="10">
        <v>26</v>
      </c>
      <c r="M150" s="10">
        <v>47.32963226</v>
      </c>
      <c r="N150" s="10">
        <v>14.5</v>
      </c>
      <c r="O150" s="10">
        <v>98.9</v>
      </c>
      <c r="P150" s="10">
        <v>67.9</v>
      </c>
      <c r="Q150" s="10">
        <v>161.1</v>
      </c>
      <c r="R150" s="10">
        <v>2.769</v>
      </c>
      <c r="S150" s="11">
        <v>40836</v>
      </c>
    </row>
    <row r="151" hidden="1" spans="1:19">
      <c r="A151" s="5" t="s">
        <v>198</v>
      </c>
      <c r="B151" s="6" t="s">
        <v>199</v>
      </c>
      <c r="C151" s="7">
        <v>16957</v>
      </c>
      <c r="D151" s="8">
        <v>23400</v>
      </c>
      <c r="E151" s="8">
        <v>14334</v>
      </c>
      <c r="F151" s="9">
        <f t="shared" si="4"/>
        <v>0.612564102564103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21</v>
      </c>
      <c r="L151" s="10">
        <v>25</v>
      </c>
      <c r="M151" s="10">
        <v>66.1130568</v>
      </c>
      <c r="N151" s="10">
        <v>15.8</v>
      </c>
      <c r="O151" s="10">
        <v>100.5</v>
      </c>
      <c r="P151" s="10">
        <v>67.6</v>
      </c>
      <c r="Q151" s="10">
        <v>176.6</v>
      </c>
      <c r="R151" s="10">
        <v>2.998</v>
      </c>
      <c r="S151" s="11">
        <v>40592</v>
      </c>
    </row>
    <row r="152" hidden="1" spans="1:19">
      <c r="A152" s="5" t="s">
        <v>198</v>
      </c>
      <c r="B152" s="6" t="s">
        <v>200</v>
      </c>
      <c r="C152" s="7">
        <v>3545</v>
      </c>
      <c r="D152" s="8">
        <v>24400</v>
      </c>
      <c r="E152" s="8">
        <v>15252</v>
      </c>
      <c r="F152" s="9">
        <f t="shared" si="4"/>
        <v>0.625081967213115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21</v>
      </c>
      <c r="L152" s="10">
        <v>25</v>
      </c>
      <c r="M152" s="10">
        <v>66.4988123</v>
      </c>
      <c r="N152" s="10">
        <v>15.8</v>
      </c>
      <c r="O152" s="10">
        <v>100.5</v>
      </c>
      <c r="P152" s="10">
        <v>67.6</v>
      </c>
      <c r="Q152" s="10">
        <v>176.6</v>
      </c>
      <c r="R152" s="10">
        <v>3.042</v>
      </c>
      <c r="S152" s="11">
        <v>40807</v>
      </c>
    </row>
    <row r="153" hidden="1" spans="1:19">
      <c r="A153" s="5" t="s">
        <v>198</v>
      </c>
      <c r="B153" s="6" t="s">
        <v>201</v>
      </c>
      <c r="C153" s="7">
        <v>15245</v>
      </c>
      <c r="D153" s="8">
        <v>27500</v>
      </c>
      <c r="E153" s="8">
        <v>18900</v>
      </c>
      <c r="F153" s="9">
        <f t="shared" si="4"/>
        <v>0.687272727272727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21</v>
      </c>
      <c r="L153" s="10">
        <v>25</v>
      </c>
      <c r="M153" s="10">
        <v>70.65449545</v>
      </c>
      <c r="N153" s="10">
        <v>17.9</v>
      </c>
      <c r="O153" s="10">
        <v>104.9</v>
      </c>
      <c r="P153" s="10">
        <v>69.3</v>
      </c>
      <c r="Q153" s="10">
        <v>185.9</v>
      </c>
      <c r="R153" s="10">
        <v>3.208</v>
      </c>
      <c r="S153" s="11">
        <v>41237</v>
      </c>
    </row>
    <row r="154" hidden="1" spans="1:19">
      <c r="A154" s="5" t="s">
        <v>198</v>
      </c>
      <c r="B154" s="6" t="s">
        <v>202</v>
      </c>
      <c r="C154" s="7">
        <v>17531</v>
      </c>
      <c r="D154" s="8">
        <v>28800</v>
      </c>
      <c r="E154" s="8">
        <v>20223</v>
      </c>
      <c r="F154" s="9">
        <f t="shared" si="4"/>
        <v>0.7021875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21</v>
      </c>
      <c r="L154" s="10">
        <v>25</v>
      </c>
      <c r="M154" s="10">
        <v>71.1559776</v>
      </c>
      <c r="N154" s="10">
        <v>17.9</v>
      </c>
      <c r="O154" s="10">
        <v>104.9</v>
      </c>
      <c r="P154" s="10">
        <v>69.3</v>
      </c>
      <c r="Q154" s="10">
        <v>186.2</v>
      </c>
      <c r="R154" s="10">
        <v>3.259</v>
      </c>
      <c r="S154" s="11">
        <v>40719</v>
      </c>
    </row>
    <row r="155" hidden="1" spans="1:19">
      <c r="A155" s="5" t="s">
        <v>198</v>
      </c>
      <c r="B155" s="6" t="s">
        <v>203</v>
      </c>
      <c r="C155" s="7">
        <v>3493</v>
      </c>
      <c r="D155" s="8">
        <v>45500</v>
      </c>
      <c r="E155" s="8">
        <v>34175</v>
      </c>
      <c r="F155" s="9">
        <f t="shared" si="4"/>
        <v>0.751098901098901</v>
      </c>
      <c r="G155" s="9" t="str">
        <f t="shared" si="5"/>
        <v>GOOD</v>
      </c>
      <c r="H155" s="10">
        <v>2.3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21</v>
      </c>
      <c r="L155" s="10">
        <v>23</v>
      </c>
      <c r="M155" s="10">
        <v>101.6233572</v>
      </c>
      <c r="N155" s="10">
        <v>18.5</v>
      </c>
      <c r="O155" s="10">
        <v>104.9</v>
      </c>
      <c r="P155" s="10">
        <v>71.5</v>
      </c>
      <c r="Q155" s="10">
        <v>185.7</v>
      </c>
      <c r="R155" s="10">
        <v>3.601</v>
      </c>
      <c r="S155" s="11">
        <v>40659</v>
      </c>
    </row>
    <row r="156" hidden="1" spans="1:19">
      <c r="A156" s="5" t="s">
        <v>198</v>
      </c>
      <c r="B156" s="6" t="s">
        <v>204</v>
      </c>
      <c r="C156" s="7">
        <v>18969</v>
      </c>
      <c r="D156" s="8">
        <v>36000</v>
      </c>
      <c r="E156" s="8">
        <v>26403</v>
      </c>
      <c r="F156" s="9">
        <f t="shared" si="4"/>
        <v>0.733416666666667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21</v>
      </c>
      <c r="L156" s="10">
        <v>24</v>
      </c>
      <c r="M156" s="10">
        <v>85.73565451</v>
      </c>
      <c r="N156" s="10">
        <v>21.1</v>
      </c>
      <c r="O156" s="10">
        <v>109.9</v>
      </c>
      <c r="P156" s="10">
        <v>72.1</v>
      </c>
      <c r="Q156" s="10">
        <v>189.8</v>
      </c>
      <c r="R156" s="10">
        <v>3.6</v>
      </c>
      <c r="S156" s="11">
        <v>40861</v>
      </c>
    </row>
  </sheetData>
  <conditionalFormatting sqref="G2:G156">
    <cfRule type="containsText" dxfId="23" priority="2" operator="between" text="GOOD">
      <formula>NOT(ISERROR(SEARCH("GOOD",G2)))</formula>
    </cfRule>
    <cfRule type="containsText" dxfId="24" priority="1" operator="between" text="POOR">
      <formula>NOT(ISERROR(SEARCH("POOR",G2)))</formula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Z12" sqref="Z12"/>
    </sheetView>
  </sheetViews>
  <sheetFormatPr defaultColWidth="9" defaultRowHeight="1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Car_sales</vt:lpstr>
      <vt:lpstr>Bar Chart</vt:lpstr>
      <vt:lpstr>Column, Pie, Sunburst Chart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Ryan</dc:creator>
  <cp:lastModifiedBy>Christopher</cp:lastModifiedBy>
  <dcterms:created xsi:type="dcterms:W3CDTF">2020-10-30T14:29:00Z</dcterms:created>
  <dcterms:modified xsi:type="dcterms:W3CDTF">2026-01-19T08:21:16Z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1761C3292ACC4540BAEC93F577FB71F8_12</vt:lpwstr>
  </property>
  <property fmtid="{D5CDD505-2E9C-101B-9397-08002B2CF9AE}" pid="3" name="KSOProductBuildVer">
    <vt:lpwstr>1033-12.2.0.23196</vt:lpwstr>
  </property>
</Properties>
</file>